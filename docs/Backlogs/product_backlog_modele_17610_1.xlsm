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0370481\Desktop\"/>
    </mc:Choice>
  </mc:AlternateContent>
  <bookViews>
    <workbookView xWindow="0" yWindow="0" windowWidth="28800" windowHeight="12330" tabRatio="522" firstSheet="1" activeTab="4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Backlog'!$A$4:$G$158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Backlog'!$E$8:$E$158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'Sp1'!$A$14:$AD$63</definedName>
    <definedName name="SprintTasks" localSheetId="5">'Sp2'!$A$14:$AD$89</definedName>
    <definedName name="SprintTasks" localSheetId="6">'Sp3'!$A$14:$AD$63</definedName>
    <definedName name="SprintTasks">'Sprint Sheet Template'!$A$14:$AD$63</definedName>
    <definedName name="Status">'Product Backlog'!$C$8:$C$158</definedName>
    <definedName name="StoryName">'Product Backlog'!$B$8:$B$158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'Sp1'!$D$14:$D$59</definedName>
    <definedName name="TaskStatus" localSheetId="5">'Sp2'!$D$14:$D$84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'Sp1'!$B$14:$B$54</definedName>
    <definedName name="TaskStoryID" localSheetId="5">'Sp2'!$B$14:$B$79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7" i="19" l="1"/>
  <c r="D64" i="24" l="1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B11" i="24"/>
  <c r="L10" i="24" s="1"/>
  <c r="B4" i="7"/>
  <c r="D4" i="7" s="1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G55" i="23" s="1"/>
  <c r="B11" i="23"/>
  <c r="K10" i="23" s="1"/>
  <c r="D90" i="22"/>
  <c r="G14" i="22"/>
  <c r="H14" i="22" s="1"/>
  <c r="B11" i="22"/>
  <c r="D3" i="20"/>
  <c r="B28" i="20" s="1"/>
  <c r="G4" i="20"/>
  <c r="N30" i="20" s="1"/>
  <c r="D10" i="20"/>
  <c r="P31" i="20" s="1"/>
  <c r="E5" i="7"/>
  <c r="G14" i="19"/>
  <c r="H14" i="19" s="1"/>
  <c r="I14" i="19" s="1"/>
  <c r="J14" i="19" s="1"/>
  <c r="F22" i="7"/>
  <c r="F23" i="7" s="1"/>
  <c r="F24" i="7" s="1"/>
  <c r="F25" i="7" s="1"/>
  <c r="F26" i="7" s="1"/>
  <c r="F27" i="7" s="1"/>
  <c r="F28" i="7" s="1"/>
  <c r="F29" i="7" s="1"/>
  <c r="F30" i="7" s="1"/>
  <c r="G17" i="20"/>
  <c r="A18" i="20"/>
  <c r="A8" i="20"/>
  <c r="H28" i="20"/>
  <c r="E31" i="7"/>
  <c r="B11" i="19"/>
  <c r="E10" i="19" s="1"/>
  <c r="D65" i="19"/>
  <c r="B11" i="16"/>
  <c r="K10" i="16" s="1"/>
  <c r="F15" i="16"/>
  <c r="F16" i="16"/>
  <c r="F17" i="16"/>
  <c r="F18" i="16"/>
  <c r="E10" i="7"/>
  <c r="E9" i="7"/>
  <c r="E8" i="7"/>
  <c r="E7" i="7"/>
  <c r="E6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G58" i="16" s="1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G20" i="20"/>
  <c r="D9" i="20"/>
  <c r="O34" i="20" s="1"/>
  <c r="J10" i="23"/>
  <c r="W10" i="23"/>
  <c r="B22" i="7"/>
  <c r="A22" i="7" s="1"/>
  <c r="E22" i="7" s="1"/>
  <c r="E4" i="7"/>
  <c r="O10" i="23"/>
  <c r="X10" i="23"/>
  <c r="G10" i="23"/>
  <c r="S10" i="23"/>
  <c r="I10" i="23"/>
  <c r="T10" i="23"/>
  <c r="L10" i="23"/>
  <c r="U10" i="23"/>
  <c r="H10" i="23"/>
  <c r="N10" i="23"/>
  <c r="Q10" i="23"/>
  <c r="AB10" i="23"/>
  <c r="P10" i="23"/>
  <c r="Y10" i="23"/>
  <c r="Z10" i="23"/>
  <c r="R10" i="23"/>
  <c r="V10" i="23"/>
  <c r="H14" i="23" l="1"/>
  <c r="H54" i="23" s="1"/>
  <c r="G54" i="23"/>
  <c r="AA10" i="23"/>
  <c r="E10" i="23"/>
  <c r="F11" i="23" s="1"/>
  <c r="M10" i="23"/>
  <c r="K10" i="24"/>
  <c r="S10" i="24"/>
  <c r="V10" i="24"/>
  <c r="P10" i="24"/>
  <c r="N46" i="20"/>
  <c r="G10" i="24"/>
  <c r="E10" i="24"/>
  <c r="F11" i="24" s="1"/>
  <c r="Q10" i="24"/>
  <c r="J10" i="24"/>
  <c r="P47" i="20"/>
  <c r="N43" i="20"/>
  <c r="Z10" i="24"/>
  <c r="AB10" i="24"/>
  <c r="B5" i="7"/>
  <c r="D5" i="7" s="1"/>
  <c r="N40" i="20"/>
  <c r="N38" i="20"/>
  <c r="T10" i="24"/>
  <c r="N45" i="20"/>
  <c r="U10" i="24"/>
  <c r="N29" i="20"/>
  <c r="Y10" i="24"/>
  <c r="H10" i="24"/>
  <c r="N49" i="20"/>
  <c r="N32" i="20"/>
  <c r="G58" i="24"/>
  <c r="W10" i="24"/>
  <c r="N48" i="20"/>
  <c r="AC10" i="16"/>
  <c r="H10" i="16"/>
  <c r="B23" i="7"/>
  <c r="A23" i="7" s="1"/>
  <c r="E23" i="7" s="1"/>
  <c r="T10" i="16"/>
  <c r="L10" i="16"/>
  <c r="M10" i="16"/>
  <c r="Z10" i="16"/>
  <c r="Y10" i="16"/>
  <c r="D22" i="7"/>
  <c r="R10" i="16"/>
  <c r="F10" i="23"/>
  <c r="P10" i="16"/>
  <c r="F10" i="16"/>
  <c r="O10" i="16"/>
  <c r="W10" i="16"/>
  <c r="U10" i="16"/>
  <c r="N10" i="16"/>
  <c r="X10" i="16"/>
  <c r="E10" i="16"/>
  <c r="G11" i="16" s="1"/>
  <c r="Q10" i="16"/>
  <c r="AB10" i="16"/>
  <c r="P34" i="20"/>
  <c r="V10" i="16"/>
  <c r="N50" i="20"/>
  <c r="G11" i="19"/>
  <c r="I10" i="16"/>
  <c r="G10" i="16"/>
  <c r="S10" i="16"/>
  <c r="D17" i="20"/>
  <c r="J10" i="16"/>
  <c r="P39" i="20"/>
  <c r="AA10" i="16"/>
  <c r="D21" i="20"/>
  <c r="B29" i="20"/>
  <c r="E28" i="20"/>
  <c r="F28" i="20"/>
  <c r="Q43" i="20"/>
  <c r="Q47" i="20"/>
  <c r="Q41" i="20"/>
  <c r="H14" i="16"/>
  <c r="N31" i="20"/>
  <c r="N47" i="20"/>
  <c r="Q33" i="20"/>
  <c r="G59" i="16"/>
  <c r="N41" i="20"/>
  <c r="Q48" i="20"/>
  <c r="D15" i="20"/>
  <c r="Q30" i="20"/>
  <c r="Q36" i="20"/>
  <c r="F10" i="24"/>
  <c r="AA10" i="24"/>
  <c r="O10" i="24"/>
  <c r="Q42" i="20"/>
  <c r="D16" i="20"/>
  <c r="Q38" i="20"/>
  <c r="N33" i="20"/>
  <c r="N44" i="20"/>
  <c r="N35" i="20"/>
  <c r="Q32" i="20"/>
  <c r="N34" i="20"/>
  <c r="G59" i="24"/>
  <c r="Q39" i="20"/>
  <c r="Q34" i="20"/>
  <c r="Q45" i="20"/>
  <c r="N39" i="20"/>
  <c r="N28" i="20"/>
  <c r="Q37" i="20"/>
  <c r="N10" i="24"/>
  <c r="I10" i="24"/>
  <c r="X10" i="24"/>
  <c r="Q40" i="20"/>
  <c r="N51" i="20"/>
  <c r="G5" i="20"/>
  <c r="G6" i="20" s="1"/>
  <c r="Q49" i="20"/>
  <c r="Q51" i="20"/>
  <c r="N42" i="20"/>
  <c r="Q29" i="20"/>
  <c r="R10" i="24"/>
  <c r="M10" i="24"/>
  <c r="Q46" i="20"/>
  <c r="N37" i="20"/>
  <c r="N36" i="20"/>
  <c r="Q28" i="20"/>
  <c r="Q35" i="20"/>
  <c r="Q31" i="20"/>
  <c r="AD10" i="16"/>
  <c r="P33" i="20"/>
  <c r="P38" i="20"/>
  <c r="P44" i="20"/>
  <c r="P46" i="20"/>
  <c r="P35" i="20"/>
  <c r="P40" i="20"/>
  <c r="P29" i="20"/>
  <c r="D20" i="20"/>
  <c r="P41" i="20"/>
  <c r="P48" i="20"/>
  <c r="P51" i="20"/>
  <c r="P43" i="20"/>
  <c r="P28" i="20"/>
  <c r="P50" i="20"/>
  <c r="P32" i="20"/>
  <c r="P45" i="20"/>
  <c r="P37" i="20"/>
  <c r="P49" i="20"/>
  <c r="P42" i="20"/>
  <c r="P30" i="20"/>
  <c r="P36" i="20"/>
  <c r="F10" i="19"/>
  <c r="G10" i="19"/>
  <c r="E10" i="22"/>
  <c r="F11" i="22" s="1"/>
  <c r="F10" i="22"/>
  <c r="I14" i="22"/>
  <c r="H10" i="19"/>
  <c r="I10" i="19"/>
  <c r="O40" i="20"/>
  <c r="O39" i="20"/>
  <c r="O33" i="20"/>
  <c r="O38" i="20"/>
  <c r="O46" i="20"/>
  <c r="O48" i="20"/>
  <c r="K14" i="19"/>
  <c r="K11" i="19" s="1"/>
  <c r="J10" i="19"/>
  <c r="O49" i="20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19"/>
  <c r="Q44" i="20"/>
  <c r="I11" i="19"/>
  <c r="J11" i="19"/>
  <c r="F11" i="19"/>
  <c r="H59" i="24"/>
  <c r="I14" i="24"/>
  <c r="H58" i="24"/>
  <c r="H11" i="23" l="1"/>
  <c r="H55" i="23"/>
  <c r="I14" i="23"/>
  <c r="I11" i="23" s="1"/>
  <c r="G11" i="23"/>
  <c r="G11" i="24"/>
  <c r="H11" i="24"/>
  <c r="H11" i="16"/>
  <c r="D11" i="16"/>
  <c r="D13" i="16" s="1"/>
  <c r="F11" i="16"/>
  <c r="B24" i="7"/>
  <c r="D24" i="7" s="1"/>
  <c r="D23" i="7"/>
  <c r="G28" i="20"/>
  <c r="K28" i="20"/>
  <c r="L30" i="20" s="1"/>
  <c r="H59" i="16"/>
  <c r="I14" i="16"/>
  <c r="H58" i="16"/>
  <c r="B30" i="20"/>
  <c r="E29" i="20"/>
  <c r="I29" i="20"/>
  <c r="H29" i="20" s="1"/>
  <c r="F29" i="20"/>
  <c r="G11" i="22"/>
  <c r="I11" i="22"/>
  <c r="H11" i="22"/>
  <c r="J14" i="22"/>
  <c r="H10" i="22"/>
  <c r="G10" i="22"/>
  <c r="L14" i="19"/>
  <c r="J14" i="24"/>
  <c r="I58" i="24"/>
  <c r="I59" i="24"/>
  <c r="I11" i="24"/>
  <c r="I55" i="23" l="1"/>
  <c r="I54" i="23"/>
  <c r="J14" i="23"/>
  <c r="K14" i="23" s="1"/>
  <c r="L39" i="20"/>
  <c r="L33" i="20"/>
  <c r="B25" i="7"/>
  <c r="A24" i="7"/>
  <c r="E24" i="7" s="1"/>
  <c r="L38" i="20"/>
  <c r="F13" i="16"/>
  <c r="H12" i="16" s="1"/>
  <c r="L29" i="20"/>
  <c r="M30" i="20" s="1"/>
  <c r="L47" i="20"/>
  <c r="L49" i="20"/>
  <c r="L40" i="20"/>
  <c r="L42" i="20"/>
  <c r="L36" i="20"/>
  <c r="L31" i="20"/>
  <c r="M31" i="20" s="1"/>
  <c r="L50" i="20"/>
  <c r="L48" i="20"/>
  <c r="L35" i="20"/>
  <c r="L46" i="20"/>
  <c r="L44" i="20"/>
  <c r="B31" i="20"/>
  <c r="I30" i="20"/>
  <c r="H30" i="20" s="1"/>
  <c r="F30" i="20"/>
  <c r="E30" i="20"/>
  <c r="L43" i="20"/>
  <c r="L51" i="20"/>
  <c r="L34" i="20"/>
  <c r="L45" i="20"/>
  <c r="L41" i="20"/>
  <c r="L32" i="20"/>
  <c r="G29" i="20"/>
  <c r="K29" i="20"/>
  <c r="J54" i="23"/>
  <c r="J55" i="23"/>
  <c r="I59" i="16"/>
  <c r="I58" i="16"/>
  <c r="J14" i="16"/>
  <c r="I11" i="16"/>
  <c r="L37" i="20"/>
  <c r="L28" i="20"/>
  <c r="M28" i="20" s="1"/>
  <c r="K14" i="22"/>
  <c r="J11" i="22"/>
  <c r="J10" i="22"/>
  <c r="I10" i="22"/>
  <c r="K10" i="19"/>
  <c r="M14" i="19"/>
  <c r="L11" i="19"/>
  <c r="J58" i="24"/>
  <c r="J59" i="24"/>
  <c r="K14" i="24"/>
  <c r="J11" i="24"/>
  <c r="M48" i="20" l="1"/>
  <c r="J11" i="23"/>
  <c r="S12" i="16"/>
  <c r="X12" i="16"/>
  <c r="M39" i="20"/>
  <c r="M40" i="20"/>
  <c r="V12" i="16"/>
  <c r="L12" i="16"/>
  <c r="B26" i="7"/>
  <c r="D25" i="7"/>
  <c r="M34" i="20"/>
  <c r="A25" i="7"/>
  <c r="E25" i="7" s="1"/>
  <c r="U12" i="16"/>
  <c r="N12" i="16"/>
  <c r="K12" i="16"/>
  <c r="Q12" i="16"/>
  <c r="M50" i="20"/>
  <c r="Z12" i="16"/>
  <c r="F12" i="16"/>
  <c r="G12" i="16"/>
  <c r="P12" i="16"/>
  <c r="AD12" i="16"/>
  <c r="O12" i="16"/>
  <c r="J12" i="16"/>
  <c r="M12" i="16"/>
  <c r="R12" i="16"/>
  <c r="W12" i="16"/>
  <c r="AA12" i="16"/>
  <c r="T12" i="16"/>
  <c r="Y12" i="16"/>
  <c r="AC12" i="16"/>
  <c r="AB12" i="16"/>
  <c r="I12" i="16"/>
  <c r="M43" i="20"/>
  <c r="M51" i="20"/>
  <c r="M44" i="20"/>
  <c r="M41" i="20"/>
  <c r="M49" i="20"/>
  <c r="K55" i="23"/>
  <c r="K54" i="23"/>
  <c r="L14" i="23"/>
  <c r="K11" i="23"/>
  <c r="F31" i="20"/>
  <c r="I31" i="20"/>
  <c r="H31" i="20" s="1"/>
  <c r="E31" i="20"/>
  <c r="B32" i="20"/>
  <c r="M37" i="20"/>
  <c r="M38" i="20"/>
  <c r="M42" i="20"/>
  <c r="M45" i="20"/>
  <c r="M29" i="20"/>
  <c r="D12" i="20" s="1"/>
  <c r="M33" i="20"/>
  <c r="M32" i="20"/>
  <c r="K14" i="16"/>
  <c r="J59" i="16"/>
  <c r="J58" i="16"/>
  <c r="J11" i="16"/>
  <c r="G30" i="20"/>
  <c r="K30" i="20"/>
  <c r="M35" i="20"/>
  <c r="M36" i="20"/>
  <c r="M46" i="20"/>
  <c r="M47" i="20"/>
  <c r="K11" i="22"/>
  <c r="L14" i="22"/>
  <c r="K10" i="22"/>
  <c r="L10" i="19"/>
  <c r="M11" i="19"/>
  <c r="N14" i="19"/>
  <c r="M10" i="19"/>
  <c r="K59" i="24"/>
  <c r="L14" i="24"/>
  <c r="K11" i="24"/>
  <c r="K58" i="24"/>
  <c r="A26" i="7" l="1"/>
  <c r="E26" i="7" s="1"/>
  <c r="B27" i="7"/>
  <c r="D26" i="7"/>
  <c r="D22" i="20"/>
  <c r="K31" i="20"/>
  <c r="G31" i="20"/>
  <c r="K59" i="16"/>
  <c r="K11" i="16"/>
  <c r="L14" i="16"/>
  <c r="K58" i="16"/>
  <c r="F32" i="20"/>
  <c r="B33" i="20"/>
  <c r="I32" i="20"/>
  <c r="H32" i="20" s="1"/>
  <c r="E32" i="20"/>
  <c r="L55" i="23"/>
  <c r="M14" i="23"/>
  <c r="L11" i="23"/>
  <c r="L54" i="23"/>
  <c r="G9" i="20"/>
  <c r="L10" i="22"/>
  <c r="L11" i="22"/>
  <c r="M14" i="22"/>
  <c r="O14" i="19"/>
  <c r="N11" i="19"/>
  <c r="M14" i="24"/>
  <c r="L11" i="24"/>
  <c r="L58" i="24"/>
  <c r="L59" i="24"/>
  <c r="D27" i="7" l="1"/>
  <c r="A27" i="7"/>
  <c r="E27" i="7" s="1"/>
  <c r="B28" i="7"/>
  <c r="M54" i="23"/>
  <c r="M11" i="23"/>
  <c r="N14" i="23"/>
  <c r="M55" i="23"/>
  <c r="M14" i="16"/>
  <c r="L11" i="16"/>
  <c r="L58" i="16"/>
  <c r="L59" i="16"/>
  <c r="K32" i="20"/>
  <c r="G32" i="20"/>
  <c r="B34" i="20"/>
  <c r="E33" i="20"/>
  <c r="I33" i="20"/>
  <c r="H33" i="20" s="1"/>
  <c r="F33" i="20"/>
  <c r="M10" i="22"/>
  <c r="M11" i="22"/>
  <c r="N14" i="22"/>
  <c r="N10" i="19"/>
  <c r="P14" i="19"/>
  <c r="O11" i="19"/>
  <c r="M58" i="24"/>
  <c r="M59" i="24"/>
  <c r="M11" i="24"/>
  <c r="N14" i="24"/>
  <c r="B29" i="7" l="1"/>
  <c r="D28" i="7"/>
  <c r="A28" i="7"/>
  <c r="E28" i="7" s="1"/>
  <c r="O14" i="23"/>
  <c r="N54" i="23"/>
  <c r="N11" i="23"/>
  <c r="N55" i="23"/>
  <c r="G33" i="20"/>
  <c r="K33" i="20"/>
  <c r="N14" i="16"/>
  <c r="M58" i="16"/>
  <c r="M11" i="16"/>
  <c r="M59" i="16"/>
  <c r="B35" i="20"/>
  <c r="F34" i="20"/>
  <c r="I34" i="20"/>
  <c r="H34" i="20" s="1"/>
  <c r="E34" i="20"/>
  <c r="O10" i="19"/>
  <c r="N10" i="22"/>
  <c r="O14" i="22"/>
  <c r="N11" i="22"/>
  <c r="P11" i="19"/>
  <c r="Q14" i="19"/>
  <c r="N59" i="24"/>
  <c r="O14" i="24"/>
  <c r="N11" i="24"/>
  <c r="N58" i="24"/>
  <c r="B30" i="7" l="1"/>
  <c r="D29" i="7"/>
  <c r="A29" i="7"/>
  <c r="E29" i="7" s="1"/>
  <c r="O54" i="23"/>
  <c r="O11" i="23"/>
  <c r="O55" i="23"/>
  <c r="P14" i="23"/>
  <c r="O14" i="16"/>
  <c r="N11" i="16"/>
  <c r="N58" i="16"/>
  <c r="N59" i="16"/>
  <c r="F35" i="20"/>
  <c r="B36" i="20"/>
  <c r="I35" i="20"/>
  <c r="H35" i="20" s="1"/>
  <c r="E35" i="20"/>
  <c r="K34" i="20"/>
  <c r="G34" i="20"/>
  <c r="P14" i="22"/>
  <c r="O10" i="22"/>
  <c r="O11" i="22"/>
  <c r="Q11" i="19"/>
  <c r="R14" i="19"/>
  <c r="P10" i="19"/>
  <c r="O59" i="24"/>
  <c r="P14" i="24"/>
  <c r="O11" i="24"/>
  <c r="O58" i="24"/>
  <c r="D30" i="7" l="1"/>
  <c r="A30" i="7"/>
  <c r="E30" i="7" s="1"/>
  <c r="K35" i="20"/>
  <c r="G35" i="20"/>
  <c r="I36" i="20"/>
  <c r="H36" i="20" s="1"/>
  <c r="E36" i="20"/>
  <c r="F36" i="20"/>
  <c r="B37" i="20"/>
  <c r="O11" i="16"/>
  <c r="P14" i="16"/>
  <c r="O59" i="16"/>
  <c r="O58" i="16"/>
  <c r="P54" i="23"/>
  <c r="P11" i="23"/>
  <c r="P55" i="23"/>
  <c r="Q14" i="23"/>
  <c r="Q14" i="22"/>
  <c r="P11" i="22"/>
  <c r="P10" i="22"/>
  <c r="Q10" i="19"/>
  <c r="S14" i="19"/>
  <c r="R11" i="19"/>
  <c r="Q14" i="24"/>
  <c r="P11" i="24"/>
  <c r="P58" i="24"/>
  <c r="P59" i="24"/>
  <c r="K36" i="20" l="1"/>
  <c r="G36" i="20"/>
  <c r="Q55" i="23"/>
  <c r="R14" i="23"/>
  <c r="Q11" i="23"/>
  <c r="Q54" i="23"/>
  <c r="B38" i="20"/>
  <c r="E37" i="20"/>
  <c r="F37" i="20"/>
  <c r="I37" i="20"/>
  <c r="H37" i="20" s="1"/>
  <c r="P58" i="16"/>
  <c r="Q14" i="16"/>
  <c r="P11" i="16"/>
  <c r="P59" i="16"/>
  <c r="R14" i="22"/>
  <c r="Q10" i="22"/>
  <c r="Q11" i="22"/>
  <c r="R10" i="19"/>
  <c r="S11" i="19"/>
  <c r="T14" i="19"/>
  <c r="Q58" i="24"/>
  <c r="Q59" i="24"/>
  <c r="R14" i="24"/>
  <c r="Q11" i="24"/>
  <c r="Q11" i="16" l="1"/>
  <c r="Q58" i="16"/>
  <c r="Q59" i="16"/>
  <c r="R14" i="16"/>
  <c r="G37" i="20"/>
  <c r="K37" i="20"/>
  <c r="S14" i="23"/>
  <c r="R11" i="23"/>
  <c r="R54" i="23"/>
  <c r="R55" i="23"/>
  <c r="E38" i="20"/>
  <c r="B39" i="20"/>
  <c r="F38" i="20"/>
  <c r="I38" i="20"/>
  <c r="H38" i="20" s="1"/>
  <c r="R11" i="22"/>
  <c r="S14" i="22"/>
  <c r="R10" i="22"/>
  <c r="T11" i="19"/>
  <c r="U14" i="19"/>
  <c r="S10" i="19"/>
  <c r="R59" i="24"/>
  <c r="S14" i="24"/>
  <c r="R11" i="24"/>
  <c r="R58" i="24"/>
  <c r="R58" i="16" l="1"/>
  <c r="R59" i="16"/>
  <c r="S14" i="16"/>
  <c r="R11" i="16"/>
  <c r="G38" i="20"/>
  <c r="K38" i="20"/>
  <c r="S54" i="23"/>
  <c r="S11" i="23"/>
  <c r="S55" i="23"/>
  <c r="T14" i="23"/>
  <c r="F39" i="20"/>
  <c r="B40" i="20"/>
  <c r="E39" i="20"/>
  <c r="I39" i="20"/>
  <c r="H39" i="20" s="1"/>
  <c r="G3" i="20"/>
  <c r="G19" i="20" s="1"/>
  <c r="T14" i="22"/>
  <c r="S10" i="22"/>
  <c r="S11" i="22"/>
  <c r="U11" i="19"/>
  <c r="V14" i="19"/>
  <c r="T10" i="19"/>
  <c r="S59" i="24"/>
  <c r="T14" i="24"/>
  <c r="S11" i="24"/>
  <c r="S58" i="24"/>
  <c r="I40" i="20" l="1"/>
  <c r="H40" i="20" s="1"/>
  <c r="F40" i="20"/>
  <c r="E40" i="20"/>
  <c r="B41" i="20"/>
  <c r="U14" i="23"/>
  <c r="T54" i="23"/>
  <c r="T55" i="23"/>
  <c r="T11" i="23"/>
  <c r="K39" i="20"/>
  <c r="G39" i="20"/>
  <c r="S11" i="16"/>
  <c r="S59" i="16"/>
  <c r="T14" i="16"/>
  <c r="S58" i="16"/>
  <c r="U10" i="19"/>
  <c r="T10" i="22"/>
  <c r="T11" i="22"/>
  <c r="U14" i="22"/>
  <c r="V11" i="19"/>
  <c r="V10" i="19"/>
  <c r="W14" i="19"/>
  <c r="U14" i="24"/>
  <c r="T11" i="24"/>
  <c r="T58" i="24"/>
  <c r="T59" i="24"/>
  <c r="E41" i="20" l="1"/>
  <c r="F41" i="20"/>
  <c r="B42" i="20"/>
  <c r="I41" i="20"/>
  <c r="H41" i="20" s="1"/>
  <c r="T58" i="16"/>
  <c r="U14" i="16"/>
  <c r="T11" i="16"/>
  <c r="T59" i="16"/>
  <c r="U11" i="23"/>
  <c r="V14" i="23"/>
  <c r="U55" i="23"/>
  <c r="U54" i="23"/>
  <c r="G40" i="20"/>
  <c r="K40" i="20"/>
  <c r="U11" i="22"/>
  <c r="U10" i="22"/>
  <c r="V14" i="22"/>
  <c r="W11" i="19"/>
  <c r="W10" i="19"/>
  <c r="X14" i="19"/>
  <c r="U58" i="24"/>
  <c r="U59" i="24"/>
  <c r="V14" i="24"/>
  <c r="U11" i="24"/>
  <c r="V55" i="23" l="1"/>
  <c r="V11" i="23"/>
  <c r="W14" i="23"/>
  <c r="V54" i="23"/>
  <c r="G41" i="20"/>
  <c r="K41" i="20"/>
  <c r="F42" i="20"/>
  <c r="B43" i="20"/>
  <c r="I42" i="20"/>
  <c r="H42" i="20" s="1"/>
  <c r="E42" i="20"/>
  <c r="U58" i="16"/>
  <c r="V14" i="16"/>
  <c r="U59" i="16"/>
  <c r="U11" i="16"/>
  <c r="W14" i="22"/>
  <c r="V11" i="22"/>
  <c r="V10" i="22"/>
  <c r="X11" i="19"/>
  <c r="X10" i="19"/>
  <c r="Y14" i="19"/>
  <c r="V59" i="24"/>
  <c r="W14" i="24"/>
  <c r="V11" i="24"/>
  <c r="V58" i="24"/>
  <c r="X14" i="23" l="1"/>
  <c r="W55" i="23"/>
  <c r="W11" i="23"/>
  <c r="W54" i="23"/>
  <c r="W14" i="16"/>
  <c r="V59" i="16"/>
  <c r="V58" i="16"/>
  <c r="V11" i="16"/>
  <c r="K42" i="20"/>
  <c r="G42" i="20"/>
  <c r="B44" i="20"/>
  <c r="I43" i="20"/>
  <c r="H43" i="20" s="1"/>
  <c r="E43" i="20"/>
  <c r="F43" i="20"/>
  <c r="W11" i="22"/>
  <c r="W10" i="22"/>
  <c r="X14" i="22"/>
  <c r="Y11" i="19"/>
  <c r="Z14" i="19"/>
  <c r="W59" i="24"/>
  <c r="X14" i="24"/>
  <c r="W11" i="24"/>
  <c r="W58" i="24"/>
  <c r="X55" i="23" l="1"/>
  <c r="X11" i="23"/>
  <c r="X54" i="23"/>
  <c r="Y14" i="23"/>
  <c r="B45" i="20"/>
  <c r="I44" i="20"/>
  <c r="H44" i="20" s="1"/>
  <c r="F44" i="20"/>
  <c r="E44" i="20"/>
  <c r="W11" i="16"/>
  <c r="X14" i="16"/>
  <c r="W58" i="16"/>
  <c r="W59" i="16"/>
  <c r="K43" i="20"/>
  <c r="G43" i="20"/>
  <c r="Y14" i="22"/>
  <c r="X10" i="22"/>
  <c r="X11" i="22"/>
  <c r="Y10" i="19"/>
  <c r="AA14" i="19"/>
  <c r="Z11" i="19"/>
  <c r="Y14" i="24"/>
  <c r="X11" i="24"/>
  <c r="X58" i="24"/>
  <c r="X59" i="24"/>
  <c r="X59" i="16" l="1"/>
  <c r="X11" i="16"/>
  <c r="Y14" i="16"/>
  <c r="X58" i="16"/>
  <c r="F45" i="20"/>
  <c r="B46" i="20"/>
  <c r="I45" i="20"/>
  <c r="H45" i="20" s="1"/>
  <c r="E45" i="20"/>
  <c r="Y54" i="23"/>
  <c r="Y11" i="23"/>
  <c r="Z14" i="23"/>
  <c r="Y55" i="23"/>
  <c r="G44" i="20"/>
  <c r="K44" i="20"/>
  <c r="Y11" i="22"/>
  <c r="Y10" i="22"/>
  <c r="Z14" i="22"/>
  <c r="AB14" i="19"/>
  <c r="AA11" i="19"/>
  <c r="Z10" i="19"/>
  <c r="Y58" i="24"/>
  <c r="Y59" i="24"/>
  <c r="Z14" i="24"/>
  <c r="Y11" i="24"/>
  <c r="Z11" i="23" l="1"/>
  <c r="Z55" i="23"/>
  <c r="Z54" i="23"/>
  <c r="AA14" i="23"/>
  <c r="Y58" i="16"/>
  <c r="Y59" i="16"/>
  <c r="Y11" i="16"/>
  <c r="Z14" i="16"/>
  <c r="I46" i="20"/>
  <c r="H46" i="20" s="1"/>
  <c r="B47" i="20"/>
  <c r="F46" i="20"/>
  <c r="E46" i="20"/>
  <c r="G45" i="20"/>
  <c r="K45" i="20"/>
  <c r="Z11" i="22"/>
  <c r="Z10" i="22"/>
  <c r="AA14" i="22"/>
  <c r="AB11" i="19"/>
  <c r="AC14" i="19"/>
  <c r="AA10" i="19"/>
  <c r="Z59" i="24"/>
  <c r="AA14" i="24"/>
  <c r="Z11" i="24"/>
  <c r="Z58" i="24"/>
  <c r="AB14" i="23" l="1"/>
  <c r="AA54" i="23"/>
  <c r="AA11" i="23"/>
  <c r="AA55" i="23"/>
  <c r="I47" i="20"/>
  <c r="H47" i="20" s="1"/>
  <c r="E47" i="20"/>
  <c r="F47" i="20"/>
  <c r="B48" i="20"/>
  <c r="G46" i="20"/>
  <c r="K46" i="20"/>
  <c r="Z59" i="16"/>
  <c r="Z11" i="16"/>
  <c r="Z58" i="16"/>
  <c r="AA14" i="16"/>
  <c r="AB14" i="22"/>
  <c r="AA11" i="22"/>
  <c r="AA10" i="22"/>
  <c r="AB10" i="19"/>
  <c r="AC62" i="19"/>
  <c r="AC51" i="19"/>
  <c r="AD14" i="19"/>
  <c r="AC57" i="19"/>
  <c r="AC44" i="19"/>
  <c r="AC52" i="19"/>
  <c r="AC56" i="19"/>
  <c r="AC15" i="19"/>
  <c r="AC49" i="19"/>
  <c r="AC43" i="19"/>
  <c r="AC63" i="19"/>
  <c r="AC53" i="19"/>
  <c r="AC47" i="19"/>
  <c r="AC46" i="19"/>
  <c r="AC45" i="19"/>
  <c r="AC60" i="19"/>
  <c r="AC55" i="19"/>
  <c r="AC11" i="19"/>
  <c r="AC61" i="19"/>
  <c r="AC50" i="19"/>
  <c r="AC59" i="19"/>
  <c r="AC54" i="19"/>
  <c r="AA59" i="24"/>
  <c r="AB14" i="24"/>
  <c r="AA11" i="24"/>
  <c r="AA58" i="24"/>
  <c r="AB55" i="23" l="1"/>
  <c r="AC14" i="23"/>
  <c r="AB11" i="23"/>
  <c r="AB54" i="23"/>
  <c r="AA58" i="16"/>
  <c r="AB14" i="16"/>
  <c r="AA11" i="16"/>
  <c r="AA59" i="16"/>
  <c r="G47" i="20"/>
  <c r="K47" i="20"/>
  <c r="B49" i="20"/>
  <c r="I48" i="20"/>
  <c r="H48" i="20" s="1"/>
  <c r="E48" i="20"/>
  <c r="F48" i="20"/>
  <c r="AC14" i="22"/>
  <c r="AB10" i="22"/>
  <c r="AB11" i="22"/>
  <c r="AC10" i="19"/>
  <c r="AD52" i="19"/>
  <c r="AD50" i="19"/>
  <c r="AD44" i="19"/>
  <c r="AD56" i="19"/>
  <c r="AD62" i="19"/>
  <c r="AD43" i="19"/>
  <c r="AD54" i="19"/>
  <c r="AD60" i="19"/>
  <c r="AD11" i="19"/>
  <c r="AD45" i="19"/>
  <c r="AD55" i="19"/>
  <c r="AD59" i="19"/>
  <c r="AD46" i="19"/>
  <c r="AD15" i="19"/>
  <c r="AD47" i="19"/>
  <c r="AD53" i="19"/>
  <c r="AD51" i="19"/>
  <c r="AD61" i="19"/>
  <c r="AD63" i="19"/>
  <c r="AD49" i="19"/>
  <c r="AD57" i="19"/>
  <c r="AC14" i="24"/>
  <c r="AB11" i="24"/>
  <c r="AB58" i="24"/>
  <c r="AB59" i="24"/>
  <c r="AC45" i="23" l="1"/>
  <c r="AC36" i="23"/>
  <c r="AC38" i="23"/>
  <c r="AC47" i="23"/>
  <c r="AC50" i="23"/>
  <c r="AC20" i="23"/>
  <c r="AC37" i="23"/>
  <c r="AC19" i="23"/>
  <c r="AC44" i="23"/>
  <c r="AC53" i="23"/>
  <c r="AC15" i="23"/>
  <c r="AC10" i="23" s="1"/>
  <c r="AC26" i="23"/>
  <c r="AC22" i="23"/>
  <c r="AC58" i="23"/>
  <c r="AC27" i="23"/>
  <c r="AC34" i="23"/>
  <c r="AC23" i="23"/>
  <c r="AC21" i="23"/>
  <c r="AC40" i="23"/>
  <c r="AC41" i="23"/>
  <c r="AC11" i="23"/>
  <c r="AC48" i="23"/>
  <c r="AC28" i="23"/>
  <c r="AC33" i="23"/>
  <c r="AC17" i="23"/>
  <c r="AC54" i="23"/>
  <c r="AC30" i="23"/>
  <c r="AC39" i="23"/>
  <c r="AC32" i="23"/>
  <c r="AC18" i="23"/>
  <c r="AC51" i="23"/>
  <c r="AC59" i="23"/>
  <c r="AC52" i="23"/>
  <c r="AC29" i="23"/>
  <c r="AC24" i="23"/>
  <c r="AC35" i="23"/>
  <c r="AC31" i="23"/>
  <c r="AC43" i="23"/>
  <c r="AC25" i="23"/>
  <c r="AC57" i="23"/>
  <c r="AC55" i="23"/>
  <c r="AC46" i="23"/>
  <c r="AC16" i="23"/>
  <c r="AD14" i="23"/>
  <c r="AC49" i="23"/>
  <c r="AC42" i="23"/>
  <c r="E49" i="20"/>
  <c r="I49" i="20"/>
  <c r="H49" i="20" s="1"/>
  <c r="B50" i="20"/>
  <c r="F49" i="20"/>
  <c r="K48" i="20"/>
  <c r="G48" i="20"/>
  <c r="AB11" i="16"/>
  <c r="AB58" i="16"/>
  <c r="AB59" i="16"/>
  <c r="AC14" i="16"/>
  <c r="AC79" i="22"/>
  <c r="AC11" i="22"/>
  <c r="AC74" i="22"/>
  <c r="AC80" i="22"/>
  <c r="AC81" i="22"/>
  <c r="AC76" i="22"/>
  <c r="AC75" i="22"/>
  <c r="AC77" i="22"/>
  <c r="AC71" i="22"/>
  <c r="AC72" i="22"/>
  <c r="AC84" i="22"/>
  <c r="AC70" i="22"/>
  <c r="AC83" i="22"/>
  <c r="AC78" i="22"/>
  <c r="AD14" i="22"/>
  <c r="AC82" i="22"/>
  <c r="AC85" i="22"/>
  <c r="AC73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1" i="24"/>
  <c r="AD14" i="24"/>
  <c r="AC10" i="24" l="1"/>
  <c r="K49" i="20"/>
  <c r="G49" i="20"/>
  <c r="F50" i="20"/>
  <c r="E50" i="20"/>
  <c r="B51" i="20"/>
  <c r="I50" i="20"/>
  <c r="H50" i="20" s="1"/>
  <c r="AD30" i="23"/>
  <c r="AD58" i="23"/>
  <c r="AD29" i="23"/>
  <c r="AD44" i="23"/>
  <c r="AD48" i="23"/>
  <c r="AD15" i="23"/>
  <c r="AD10" i="23" s="1"/>
  <c r="D11" i="23" s="1"/>
  <c r="AD23" i="23"/>
  <c r="AD24" i="23"/>
  <c r="AD37" i="23"/>
  <c r="AD36" i="23"/>
  <c r="AD22" i="23"/>
  <c r="AD35" i="23"/>
  <c r="AD55" i="23"/>
  <c r="AD52" i="23"/>
  <c r="AD11" i="23"/>
  <c r="AD31" i="23"/>
  <c r="AD57" i="23"/>
  <c r="AD17" i="23"/>
  <c r="AD26" i="23"/>
  <c r="AD27" i="23"/>
  <c r="AD53" i="23"/>
  <c r="AD32" i="23"/>
  <c r="AD33" i="23"/>
  <c r="AD49" i="23"/>
  <c r="AD42" i="23"/>
  <c r="AD34" i="23"/>
  <c r="AD47" i="23"/>
  <c r="AD51" i="23"/>
  <c r="AD19" i="23"/>
  <c r="AD43" i="23"/>
  <c r="AD18" i="23"/>
  <c r="AD20" i="23"/>
  <c r="AD54" i="23"/>
  <c r="AD41" i="23"/>
  <c r="AD59" i="23"/>
  <c r="AD46" i="23"/>
  <c r="AD40" i="23"/>
  <c r="AD39" i="23"/>
  <c r="AD25" i="23"/>
  <c r="AD50" i="23"/>
  <c r="AD45" i="23"/>
  <c r="AD28" i="23"/>
  <c r="AD16" i="23"/>
  <c r="AD38" i="23"/>
  <c r="AD21" i="23"/>
  <c r="AC43" i="16"/>
  <c r="AC34" i="16"/>
  <c r="AC57" i="16"/>
  <c r="AC35" i="16"/>
  <c r="AC33" i="16"/>
  <c r="AC24" i="16"/>
  <c r="AC28" i="16"/>
  <c r="AC32" i="16"/>
  <c r="AC40" i="16"/>
  <c r="AC23" i="16"/>
  <c r="AC53" i="16"/>
  <c r="AC38" i="16"/>
  <c r="AC29" i="16"/>
  <c r="AC47" i="16"/>
  <c r="AC20" i="16"/>
  <c r="AC37" i="16"/>
  <c r="AC54" i="16"/>
  <c r="AC17" i="16"/>
  <c r="AC26" i="16"/>
  <c r="AC52" i="16"/>
  <c r="AC55" i="16"/>
  <c r="AC16" i="16"/>
  <c r="AC41" i="16"/>
  <c r="AC21" i="16"/>
  <c r="AC48" i="16"/>
  <c r="AC36" i="16"/>
  <c r="AC31" i="16"/>
  <c r="AC56" i="16"/>
  <c r="AC50" i="16"/>
  <c r="AC11" i="16"/>
  <c r="AC49" i="16"/>
  <c r="AC58" i="16"/>
  <c r="AD14" i="16"/>
  <c r="AC25" i="16"/>
  <c r="AC19" i="16"/>
  <c r="AC18" i="16"/>
  <c r="AC46" i="16"/>
  <c r="AC27" i="16"/>
  <c r="AC42" i="16"/>
  <c r="AC22" i="16"/>
  <c r="AC59" i="16"/>
  <c r="AC30" i="16"/>
  <c r="AC39" i="16"/>
  <c r="AC51" i="16"/>
  <c r="AC44" i="16"/>
  <c r="AC45" i="16"/>
  <c r="AC10" i="22"/>
  <c r="AD84" i="22"/>
  <c r="AD77" i="22"/>
  <c r="AD83" i="22"/>
  <c r="AD75" i="22"/>
  <c r="AD71" i="22"/>
  <c r="AD80" i="22"/>
  <c r="AD78" i="22"/>
  <c r="AD70" i="22"/>
  <c r="AD79" i="22"/>
  <c r="AD76" i="22"/>
  <c r="AD74" i="22"/>
  <c r="AD82" i="22"/>
  <c r="AD73" i="22"/>
  <c r="AD85" i="22"/>
  <c r="AD72" i="22"/>
  <c r="AD11" i="22"/>
  <c r="AD81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1" i="24"/>
  <c r="AD58" i="24"/>
  <c r="F13" i="23" l="1"/>
  <c r="D13" i="23"/>
  <c r="K50" i="20"/>
  <c r="G50" i="20"/>
  <c r="AD52" i="16"/>
  <c r="AD54" i="16"/>
  <c r="AD53" i="16"/>
  <c r="AD36" i="16"/>
  <c r="AD40" i="16"/>
  <c r="AD18" i="16"/>
  <c r="AD25" i="16"/>
  <c r="AD46" i="16"/>
  <c r="AD23" i="16"/>
  <c r="AD41" i="16"/>
  <c r="AD34" i="16"/>
  <c r="AD59" i="16"/>
  <c r="AD57" i="16"/>
  <c r="AD47" i="16"/>
  <c r="AD56" i="16"/>
  <c r="AD16" i="16"/>
  <c r="AD51" i="16"/>
  <c r="AD31" i="16"/>
  <c r="AD44" i="16"/>
  <c r="AD50" i="16"/>
  <c r="AD48" i="16"/>
  <c r="AD19" i="16"/>
  <c r="AD42" i="16"/>
  <c r="AD27" i="16"/>
  <c r="AD45" i="16"/>
  <c r="AD11" i="16"/>
  <c r="AD26" i="16"/>
  <c r="AD58" i="16"/>
  <c r="AD37" i="16"/>
  <c r="AD32" i="16"/>
  <c r="AD29" i="16"/>
  <c r="AD21" i="16"/>
  <c r="AD33" i="16"/>
  <c r="AD30" i="16"/>
  <c r="AD49" i="16"/>
  <c r="AD17" i="16"/>
  <c r="AD24" i="16"/>
  <c r="AD22" i="16"/>
  <c r="AD20" i="16"/>
  <c r="AD35" i="16"/>
  <c r="AD55" i="16"/>
  <c r="AD38" i="16"/>
  <c r="AD39" i="16"/>
  <c r="AD43" i="16"/>
  <c r="AD28" i="16"/>
  <c r="AD10" i="24"/>
  <c r="D11" i="24" s="1"/>
  <c r="F13" i="24" s="1"/>
  <c r="E51" i="20"/>
  <c r="F51" i="20"/>
  <c r="I51" i="20"/>
  <c r="H51" i="20" s="1"/>
  <c r="AD10" i="22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K12" i="23" l="1"/>
  <c r="D13" i="24"/>
  <c r="S12" i="24" s="1"/>
  <c r="O12" i="23"/>
  <c r="T12" i="23"/>
  <c r="F12" i="23"/>
  <c r="L12" i="23"/>
  <c r="Z12" i="23"/>
  <c r="I12" i="23"/>
  <c r="U12" i="23"/>
  <c r="AD12" i="23"/>
  <c r="Y12" i="23"/>
  <c r="S12" i="23"/>
  <c r="R12" i="23"/>
  <c r="M12" i="23"/>
  <c r="G51" i="20"/>
  <c r="K51" i="20"/>
  <c r="AB12" i="23"/>
  <c r="Q12" i="23"/>
  <c r="V12" i="23"/>
  <c r="X12" i="23"/>
  <c r="G12" i="23"/>
  <c r="W12" i="23"/>
  <c r="H12" i="23"/>
  <c r="AA12" i="23"/>
  <c r="J12" i="23"/>
  <c r="P12" i="23"/>
  <c r="N12" i="23"/>
  <c r="AC12" i="23"/>
  <c r="D13" i="22"/>
  <c r="F13" i="22"/>
  <c r="I12" i="24" l="1"/>
  <c r="AD12" i="24"/>
  <c r="L12" i="24"/>
  <c r="AA12" i="24"/>
  <c r="V12" i="24"/>
  <c r="K12" i="24"/>
  <c r="AB12" i="24"/>
  <c r="Q12" i="24"/>
  <c r="X12" i="24"/>
  <c r="AC12" i="24"/>
  <c r="G12" i="24"/>
  <c r="H12" i="24"/>
  <c r="Z12" i="24"/>
  <c r="R12" i="24"/>
  <c r="T12" i="24"/>
  <c r="J12" i="24"/>
  <c r="N12" i="24"/>
  <c r="O12" i="24"/>
  <c r="F12" i="24"/>
  <c r="U12" i="24"/>
  <c r="W12" i="24"/>
  <c r="M12" i="24"/>
  <c r="P12" i="24"/>
  <c r="Y12" i="24"/>
  <c r="Y12" i="22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<sst xmlns="http://schemas.openxmlformats.org/spreadsheetml/2006/main" count="378" uniqueCount="193">
  <si>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</si>
  <si>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</si>
  <si>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</si>
  <si>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</si>
  <si>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</si>
  <si>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</si>
  <si>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</si>
  <si>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</si>
  <si>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</si>
  <si>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</si>
  <si>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</si>
  <si>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</si>
  <si>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</si>
  <si>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</si>
  <si>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</si>
  <si>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</si>
  <si>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</si>
  <si>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</si>
  <si>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</si>
  <si>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</si>
  <si>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</si>
  <si>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</si>
  <si>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</si>
  <si>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Done</t>
  </si>
  <si>
    <t>Ongoing</t>
  </si>
  <si>
    <t>Administrateur</t>
  </si>
  <si>
    <t>Planned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</si>
  <si>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</si>
  <si>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</si>
  <si>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</si>
  <si>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</si>
  <si>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</si>
  <si>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</si>
  <si>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</si>
  <si>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</si>
  <si>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</si>
  <si>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</si>
  <si>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</si>
  <si>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</si>
  <si>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</si>
  <si>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</si>
  <si>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</si>
  <si>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</si>
  <si>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</si>
  <si>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</si>
  <si>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</si>
  <si>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</si>
  <si>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</si>
  <si>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</si>
  <si>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</si>
  <si>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</si>
  <si>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</si>
  <si>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</si>
  <si>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</si>
  <si>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</si>
  <si>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</si>
  <si>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</si>
  <si>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</si>
  <si>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</si>
  <si>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</si>
  <si>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</si>
  <si>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</si>
  <si>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</si>
  <si>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</si>
  <si>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</si>
  <si>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</si>
  <si>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</si>
  <si>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</si>
  <si>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</si>
  <si>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</si>
  <si>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</si>
  <si>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</si>
  <si>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</si>
  <si>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</si>
  <si>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</si>
  <si>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</si>
  <si>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</si>
  <si>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</si>
  <si>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</si>
  <si>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</si>
  <si>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</si>
  <si>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</si>
  <si>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</si>
  <si>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</si>
  <si>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</si>
  <si>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</si>
  <si>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</si>
  <si>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</si>
  <si>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</si>
  <si>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</si>
  <si>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</si>
  <si>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</si>
  <si>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charte du graphique</t>
  </si>
  <si>
    <t>maquette</t>
  </si>
  <si>
    <t>MCD</t>
  </si>
  <si>
    <t>En tant que Membre, je veux consulter la liste de mes annonces déposées dans le but de faire un suivi des visites</t>
  </si>
  <si>
    <t>Produire le Product Backlog</t>
  </si>
  <si>
    <t>Produire la Charte Graphique</t>
  </si>
  <si>
    <t>Produire les maquettes</t>
  </si>
  <si>
    <t>Néant</t>
  </si>
  <si>
    <t>Albert</t>
  </si>
  <si>
    <t>Auguste</t>
  </si>
  <si>
    <t>vue user register</t>
  </si>
  <si>
    <t>db user register</t>
  </si>
  <si>
    <t>controller user register</t>
  </si>
  <si>
    <t>Ahmed</t>
  </si>
  <si>
    <t>En tant qu'Administrateur, je veux ajouter un utilisateur</t>
  </si>
  <si>
    <t>En tant qu'Administrateur, je veux ajouter un administrateur</t>
  </si>
  <si>
    <t>En tant qu'Administrateur, je veux suprimmer une inscription</t>
  </si>
  <si>
    <t>En tant qu'Administrateur, je veux voir les annonces</t>
  </si>
  <si>
    <t>En tant qu'Administrateur, je veux filtrer les annonces</t>
  </si>
  <si>
    <t>Admin - Supprimer une inscription</t>
  </si>
  <si>
    <t>Admin - Voir les annonces</t>
  </si>
  <si>
    <t>Admin - Filtrer les annonces</t>
  </si>
  <si>
    <t>Admin - Ajouter administrateur</t>
  </si>
  <si>
    <t>Admin - Ajouter utilisateur</t>
  </si>
  <si>
    <t>Admin - Supprimer une annonce</t>
  </si>
  <si>
    <t>En tant qu'Administrateur, je veux supprimer une annonce</t>
  </si>
  <si>
    <t>Admin - Voir les messages</t>
  </si>
  <si>
    <t>En tant qu'Administrateur, je veux voir les messages</t>
  </si>
  <si>
    <t>Admin - Filtrer les messages</t>
  </si>
  <si>
    <t>En tant qu'Administrateur, je veux filtrer les messages</t>
  </si>
  <si>
    <t>Admin - Lire les messages</t>
  </si>
  <si>
    <t>En tant qu'Administrateur, je veux lire les messages destiné aux administrateurs</t>
  </si>
  <si>
    <t>Admin - Lister categories et sous categories</t>
  </si>
  <si>
    <t>Admin - Ajouter une categorie ou sous categorie</t>
  </si>
  <si>
    <t>En tant qu'Administrateur, je veux lister une categorie ou sous categorie</t>
  </si>
  <si>
    <t>En tant qu'Administrateur, je veux ajouter une categorie ou sous categorie</t>
  </si>
  <si>
    <t>visiteur</t>
  </si>
  <si>
    <t>En tant que visiteur  je peux envoyer un message à un administrateur</t>
  </si>
  <si>
    <t>membre</t>
  </si>
  <si>
    <t xml:space="preserve">En tant que Membre, je peux  ajouter  des annonces </t>
  </si>
  <si>
    <t>En tant que Membre, je peux  supprimer mes annonces</t>
  </si>
  <si>
    <t>En tant que Membre, je peux ajouter des annonces dans mes favoris</t>
  </si>
  <si>
    <t xml:space="preserve">En tant que Membre, je peux consulter la liste de mes annonces. </t>
  </si>
  <si>
    <t>En tant que Membre, je peux envoyer des messages au propriétaire de l'annonce.</t>
  </si>
  <si>
    <t>Membre-Voir mes annonces</t>
  </si>
  <si>
    <t>En tant que Membre, je peux voir des annonces dans mes favoris</t>
  </si>
  <si>
    <t>En tant qu'Administrateur, je peux repondre aux messages des autres</t>
  </si>
  <si>
    <t>En tant qu'Administrateur, je veux deactiver ou reactiver une inscription</t>
  </si>
  <si>
    <t>En tant que Membre, je peux envoyer des messages au administrateur.</t>
  </si>
  <si>
    <t>En tant que visiteur, je peux m'inscrire dans le site et avoir un compte avec un nom d'utilisateur et mot de passe</t>
  </si>
  <si>
    <t>En tant que membre je peux connectée et déconnectée a mon compt</t>
  </si>
  <si>
    <t>En tant que Membre, je peux voir mes anonce visitè par d'autres.</t>
  </si>
  <si>
    <t>En tant que Membre, je peux changer mon mots de passe dans mon profile</t>
  </si>
  <si>
    <t>En tant que Membre, je peux suprimer un favori</t>
  </si>
  <si>
    <t>Admin - Déactiver / Reactiver une inscription</t>
  </si>
  <si>
    <t>Admin- Repondre au messages des autres</t>
  </si>
  <si>
    <t>Membre - Connecté et déconnecté</t>
  </si>
  <si>
    <t>Visiteur - Envoyer un message</t>
  </si>
  <si>
    <t>Visiteur - Avoir un compte</t>
  </si>
  <si>
    <t>Membre - Ajouter  les anonces</t>
  </si>
  <si>
    <t>Membre- Suprimer une anonce</t>
  </si>
  <si>
    <t>Membre- Envoyer un message</t>
  </si>
  <si>
    <t>Membre - Ajouter  les anonce dans favoris</t>
  </si>
  <si>
    <t>Membre - Voir  les anonce dans favoris</t>
  </si>
  <si>
    <t>Membre - Suprimer des favoris</t>
  </si>
  <si>
    <t>Membre - Voir mes anonces</t>
  </si>
  <si>
    <t>Membre - Envoyer un message a proprietaire</t>
  </si>
  <si>
    <t>Membre - Envoyer un message à l'admin</t>
  </si>
  <si>
    <t>Membre - Voir les nombres mes anonce visitè</t>
  </si>
  <si>
    <t>Membre - Changer mote de passe</t>
  </si>
  <si>
    <t>José</t>
  </si>
  <si>
    <t>Benjamin</t>
  </si>
  <si>
    <t>Mehdi</t>
  </si>
  <si>
    <t>Yevgeniy</t>
  </si>
  <si>
    <t>Utilisateur peut filtrer annonces par prix</t>
  </si>
  <si>
    <t>Utilisateur peut filtrer annonces par lieu</t>
  </si>
  <si>
    <t>Utilisateur peut voir les annonces par categorie</t>
  </si>
  <si>
    <t>Utilisateur peut voir les annonces par mots clés</t>
  </si>
  <si>
    <t>Utilisateur peut voir une annonce en détail</t>
  </si>
  <si>
    <t>Modele</t>
  </si>
  <si>
    <t>Chercher tout les annonces</t>
  </si>
  <si>
    <t>Chercher les annonces par categorie ou sous categorie</t>
  </si>
  <si>
    <t>150-200 heures entre les 4</t>
  </si>
  <si>
    <t>En tant que visiteur, je peux voir les annonces par categorie</t>
  </si>
  <si>
    <t>En tant que visiteur, je peux voir les annonces par clés</t>
  </si>
  <si>
    <t>Modele - Chercher des annonces par categorie ou sous-categorie dans la bd</t>
  </si>
  <si>
    <t>Modele - Chercher des annonces par mots clés  dans la bd</t>
  </si>
  <si>
    <t>Vue - afficher la barre de recherche</t>
  </si>
  <si>
    <t>Visiteur - Chercher annonces par categorie</t>
  </si>
  <si>
    <t>Visiteur - Chercher annonces par mots clés</t>
  </si>
  <si>
    <t>Vue - afficher les annonces pour une categorie</t>
  </si>
  <si>
    <t>Modele - Select categories et sous categories pour afficher dans le menu</t>
  </si>
  <si>
    <t>Vue - afficher les annonces pour des mots clés</t>
  </si>
  <si>
    <t>Controleur - Gestion de la requete d'affichage initial</t>
  </si>
  <si>
    <t>Controleur - Gestion de la requete d'affichage des annonces par categorie ou sous categorie</t>
  </si>
  <si>
    <t>Controleur - Gestion de la requete d'affichage des annonces par des mots clés</t>
  </si>
  <si>
    <t>Pagination</t>
  </si>
  <si>
    <t>Controleur - Gestion de la barre de recherche</t>
  </si>
  <si>
    <t>Vue - Montrer les categories et sous-categories dans le menu</t>
  </si>
  <si>
    <t>Somme</t>
  </si>
  <si>
    <t>Inclus ammorcage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</si>
</sst>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Alignment="1">
      <alignment vertical="top"/>
    </xf>
    <xf numFmtId="0" fontId="10" fillId="0" borderId="0" xfId="0" applyFont="1" applyAlignment="1">
      <alignment horizontal="center" vertical="top"/>
    </xf>
  </cellXfs>
  <cellStyles count="1">
    <cellStyle name="Normal" xfId="0" builtinId="0"/>
  </cellStyles>
  <dxfs count="15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65E-2"/>
          <c:y val="0.12658247407547046"/>
          <c:w val="0.88295776413084348"/>
          <c:h val="0.76582396815659659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9306112"/>
        <c:axId val="79320192"/>
      </c:lineChart>
      <c:catAx>
        <c:axId val="7930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320192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79320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3061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67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1"/>
          <c:w val="0.87885098383256044"/>
          <c:h val="0.65043070943587356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9265792"/>
        <c:axId val="79267328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65792"/>
        <c:axId val="79267328"/>
      </c:lineChart>
      <c:catAx>
        <c:axId val="79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26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267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2657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24E-2"/>
          <c:y val="0.87395468116628694"/>
          <c:w val="0.85218278926633129"/>
          <c:h val="0.10602080184103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31"/>
          <c:y val="8.8235610910252879E-2"/>
          <c:w val="0.81731784582893341"/>
          <c:h val="0.83088533607154791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352960"/>
        <c:axId val="81371136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52960"/>
        <c:axId val="81371136"/>
      </c:lineChart>
      <c:catAx>
        <c:axId val="81352960"/>
        <c:scaling>
          <c:orientation val="minMax"/>
        </c:scaling>
        <c:delete val="1"/>
        <c:axPos val="b"/>
        <c:majorTickMark val="out"/>
        <c:minorTickMark val="none"/>
        <c:tickLblPos val="none"/>
        <c:crossAx val="81371136"/>
        <c:crosses val="autoZero"/>
        <c:auto val="1"/>
        <c:lblAlgn val="ctr"/>
        <c:lblOffset val="100"/>
        <c:noMultiLvlLbl val="0"/>
      </c:catAx>
      <c:valAx>
        <c:axId val="8137113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7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13529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3"/>
          <c:h val="0.426487571406515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8"/>
          <c:y val="8.8235610910252879E-2"/>
          <c:w val="0.81942977824709617"/>
          <c:h val="0.83088533607154791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813696"/>
        <c:axId val="82815232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97</c:v>
                </c:pt>
                <c:pt idx="1">
                  <c:v>77.599999999999994</c:v>
                </c:pt>
                <c:pt idx="2">
                  <c:v>58.2</c:v>
                </c:pt>
                <c:pt idx="3">
                  <c:v>38.800000000000004</c:v>
                </c:pt>
                <c:pt idx="4">
                  <c:v>19.400000000000006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13696"/>
        <c:axId val="82815232"/>
      </c:lineChart>
      <c:catAx>
        <c:axId val="82813696"/>
        <c:scaling>
          <c:orientation val="minMax"/>
        </c:scaling>
        <c:delete val="1"/>
        <c:axPos val="b"/>
        <c:majorTickMark val="out"/>
        <c:minorTickMark val="none"/>
        <c:tickLblPos val="none"/>
        <c:crossAx val="82815232"/>
        <c:crosses val="autoZero"/>
        <c:auto val="1"/>
        <c:lblAlgn val="ctr"/>
        <c:lblOffset val="100"/>
        <c:noMultiLvlLbl val="0"/>
      </c:catAx>
      <c:valAx>
        <c:axId val="828152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91"/>
              <c:y val="0.13970619344223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28136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68E-3"/>
          <c:y val="5.1472558467504981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31"/>
          <c:y val="8.8235610910252879E-2"/>
          <c:w val="0.81731784582893341"/>
          <c:h val="0.83088533607154791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950784"/>
        <c:axId val="829607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50784"/>
        <c:axId val="82960768"/>
      </c:lineChart>
      <c:catAx>
        <c:axId val="82950784"/>
        <c:scaling>
          <c:orientation val="minMax"/>
        </c:scaling>
        <c:delete val="1"/>
        <c:axPos val="b"/>
        <c:majorTickMark val="out"/>
        <c:minorTickMark val="none"/>
        <c:tickLblPos val="none"/>
        <c:crossAx val="82960768"/>
        <c:crosses val="autoZero"/>
        <c:auto val="1"/>
        <c:lblAlgn val="ctr"/>
        <c:lblOffset val="100"/>
        <c:noMultiLvlLbl val="0"/>
      </c:catAx>
      <c:valAx>
        <c:axId val="829607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2950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38E-3"/>
          <c:y val="6.6178786475220019E-2"/>
          <c:w val="0.11299181981891711"/>
          <c:h val="0.426487571406515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31"/>
          <c:y val="8.8235610910252879E-2"/>
          <c:w val="0.81731784582893341"/>
          <c:h val="0.83088533607154791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94016"/>
        <c:axId val="83495552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94016"/>
        <c:axId val="83495552"/>
      </c:lineChart>
      <c:catAx>
        <c:axId val="83494016"/>
        <c:scaling>
          <c:orientation val="minMax"/>
        </c:scaling>
        <c:delete val="1"/>
        <c:axPos val="b"/>
        <c:majorTickMark val="out"/>
        <c:minorTickMark val="none"/>
        <c:tickLblPos val="none"/>
        <c:crossAx val="83495552"/>
        <c:crosses val="autoZero"/>
        <c:auto val="1"/>
        <c:lblAlgn val="ctr"/>
        <c:lblOffset val="100"/>
        <c:noMultiLvlLbl val="0"/>
      </c:catAx>
      <c:valAx>
        <c:axId val="8349555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3494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38E-3"/>
          <c:y val="6.6178786475220019E-2"/>
          <c:w val="0.11299181981891714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31"/>
          <c:y val="8.8235610910252879E-2"/>
          <c:w val="0.81731784582893341"/>
          <c:h val="0.83088533607154791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062144"/>
        <c:axId val="83068032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62144"/>
        <c:axId val="83068032"/>
      </c:lineChart>
      <c:catAx>
        <c:axId val="83062144"/>
        <c:scaling>
          <c:orientation val="minMax"/>
        </c:scaling>
        <c:delete val="1"/>
        <c:axPos val="b"/>
        <c:majorTickMark val="out"/>
        <c:minorTickMark val="none"/>
        <c:tickLblPos val="none"/>
        <c:crossAx val="83068032"/>
        <c:crosses val="autoZero"/>
        <c:auto val="1"/>
        <c:lblAlgn val="ctr"/>
        <c:lblOffset val="100"/>
        <c:noMultiLvlLbl val="0"/>
      </c:catAx>
      <c:valAx>
        <c:axId val="830680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7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30621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9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 t="e">
        <f>IF(OR(B4="",C4=""),"",B4+C4-1)</f>
        <v>#VALUE!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 t="e">
        <f>IF(A5="","",B4+C4)</f>
        <v>#VALUE!</v>
      </c>
      <c r="C5" s="22">
        <f t="shared" ref="C5:C10" si="0">IF(A5="","",SUMIF(I$16:I$30,A5,C$16:C$30))</f>
        <v>0</v>
      </c>
      <c r="D5" s="41" t="e">
        <f t="shared" ref="D5:D10" si="1">IF(OR(B5="",C5=""),"",B5+C5-1)</f>
        <v>#VALUE!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7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Backlog'!E$7:E$98,'Release Plan'!A22,'Product Backlog'!D$7:D$98))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Backlog'!E$7:E$98,'Release Plan'!A23,'Product Backlog'!D$7:D$98))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Backlog'!E$7:E$98,'Release Plan'!A24,'Product Backlog'!D$7:D$98))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Backlog'!E$7:E$98,'Release Plan'!A25,'Product Backlog'!D$7:D$98))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Backlog'!E$7:E$98,'Release Plan'!A26,'Product Backlog'!D$7:D$98))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Backlog'!E$7:E$98,'Release Plan'!A27,'Product Backlog'!D$7:D$98))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Backlog'!E$7:E$98,'Release Plan'!A28,'Product Backlog'!D$7:D$98))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Backlog'!E$7:E$98,'Release Plan'!A29,'Product Backlog'!D$7:D$98))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Backlog'!E$7:E$98,'Release Plan'!A30,'Product Backlog'!D$7:D$98))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Backlog'!E$7:E$98,"",'Product Backlog'!D$7:D$98)-SUMIF('Product Backlog'!C$7:C$98,"Removed",'Product Backlog'!D$7:D$98)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153" priority="1" stopIfTrue="1">
      <formula>$F4="Planned"</formula>
    </cfRule>
    <cfRule type="expression" dxfId="152" priority="2" stopIfTrue="1">
      <formula>$F4="Ongoing"</formula>
    </cfRule>
  </conditionalFormatting>
  <conditionalFormatting sqref="F4:F10 F16:F30">
    <cfRule type="expression" dxfId="151" priority="3" stopIfTrue="1">
      <formula>$F4="Planned"</formula>
    </cfRule>
    <cfRule type="expression" dxfId="150" priority="4" stopIfTrue="1">
      <formula>$F4="Ongoing"</formula>
    </cfRule>
    <cfRule type="cellIs" dxfId="149" priority="5" stopIfTrue="1" operator="equal">
      <formula>"Unplanned"</formula>
    </cfRule>
  </conditionalFormatting>
  <conditionalFormatting sqref="E4 G16:H30 A16:E30">
    <cfRule type="expression" dxfId="148" priority="6" stopIfTrue="1">
      <formula>OR($F4="Planned",$F4="Unplanned")</formula>
    </cfRule>
    <cfRule type="expression" dxfId="147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1"/>
  <sheetViews>
    <sheetView zoomScale="130" zoomScaleNormal="130" workbookViewId="0">
      <pane ySplit="4" topLeftCell="A12" activePane="bottomLeft" state="frozen"/>
      <selection pane="bottomLeft" activeCell="C18" sqref="C18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55.285156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ht="10.5" customHeight="1" x14ac:dyDescent="0.2">
      <c r="D2" s="76"/>
    </row>
    <row r="3" spans="1:8" hidden="1" x14ac:dyDescent="0.2"/>
    <row r="4" spans="1:8" ht="18.600000000000001" customHeight="1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x14ac:dyDescent="0.2">
      <c r="A5">
        <v>1</v>
      </c>
      <c r="B5" s="32" t="s">
        <v>96</v>
      </c>
      <c r="C5" s="34" t="s">
        <v>23</v>
      </c>
      <c r="D5" s="34">
        <v>6</v>
      </c>
      <c r="E5" s="34">
        <v>0</v>
      </c>
      <c r="F5" s="34">
        <v>1</v>
      </c>
      <c r="G5" s="32" t="s">
        <v>99</v>
      </c>
      <c r="H5" s="32" t="s">
        <v>99</v>
      </c>
    </row>
    <row r="6" spans="1:8" x14ac:dyDescent="0.2">
      <c r="A6">
        <v>2</v>
      </c>
      <c r="B6" s="32" t="s">
        <v>97</v>
      </c>
      <c r="C6" s="34" t="s">
        <v>24</v>
      </c>
      <c r="D6" s="34">
        <v>4</v>
      </c>
      <c r="E6" s="34">
        <v>0</v>
      </c>
      <c r="F6" s="34">
        <v>1</v>
      </c>
      <c r="G6" s="32" t="s">
        <v>99</v>
      </c>
      <c r="H6" s="32" t="s">
        <v>99</v>
      </c>
    </row>
    <row r="7" spans="1:8" x14ac:dyDescent="0.2">
      <c r="A7">
        <v>3</v>
      </c>
      <c r="B7" s="32" t="s">
        <v>98</v>
      </c>
      <c r="C7" s="34" t="s">
        <v>26</v>
      </c>
      <c r="D7" s="34">
        <v>8</v>
      </c>
      <c r="E7" s="34">
        <v>0</v>
      </c>
      <c r="F7" s="34">
        <v>1</v>
      </c>
      <c r="G7" s="32" t="s">
        <v>99</v>
      </c>
      <c r="H7" s="32" t="s">
        <v>99</v>
      </c>
    </row>
    <row r="8" spans="1:8" x14ac:dyDescent="0.2">
      <c r="A8"/>
      <c r="H8" s="78"/>
    </row>
    <row r="9" spans="1:8" x14ac:dyDescent="0.2">
      <c r="A9"/>
      <c r="G9" s="78"/>
      <c r="H9" s="78"/>
    </row>
    <row r="22" spans="1:8" x14ac:dyDescent="0.2">
      <c r="A22" s="34">
        <v>1</v>
      </c>
      <c r="B22" s="32" t="s">
        <v>180</v>
      </c>
      <c r="C22" s="34" t="s">
        <v>26</v>
      </c>
      <c r="E22" s="34">
        <v>1</v>
      </c>
      <c r="F22" s="34">
        <v>1</v>
      </c>
      <c r="G22" s="32" t="s">
        <v>175</v>
      </c>
      <c r="H22" s="35" t="s">
        <v>128</v>
      </c>
    </row>
    <row r="23" spans="1:8" x14ac:dyDescent="0.2">
      <c r="A23" s="34">
        <v>2</v>
      </c>
      <c r="B23" s="32" t="s">
        <v>181</v>
      </c>
      <c r="C23" s="34" t="s">
        <v>26</v>
      </c>
      <c r="E23" s="34">
        <v>1</v>
      </c>
      <c r="F23" s="34">
        <v>1</v>
      </c>
      <c r="G23" s="32" t="s">
        <v>176</v>
      </c>
      <c r="H23" s="35" t="s">
        <v>128</v>
      </c>
    </row>
    <row r="24" spans="1:8" ht="24.95" customHeight="1" x14ac:dyDescent="0.2">
      <c r="B24" s="32" t="s">
        <v>150</v>
      </c>
      <c r="C24" s="34" t="s">
        <v>26</v>
      </c>
      <c r="G24" s="32" t="s">
        <v>141</v>
      </c>
      <c r="H24" s="35" t="s">
        <v>128</v>
      </c>
    </row>
    <row r="25" spans="1:8" ht="24" customHeight="1" x14ac:dyDescent="0.2">
      <c r="B25" s="32" t="s">
        <v>149</v>
      </c>
      <c r="C25" s="34" t="s">
        <v>26</v>
      </c>
      <c r="G25" s="32" t="s">
        <v>129</v>
      </c>
      <c r="H25" s="35" t="s">
        <v>128</v>
      </c>
    </row>
    <row r="26" spans="1:8" ht="24" customHeight="1" x14ac:dyDescent="0.2">
      <c r="B26" s="32" t="s">
        <v>148</v>
      </c>
      <c r="C26" s="34" t="s">
        <v>26</v>
      </c>
      <c r="G26" s="32" t="s">
        <v>142</v>
      </c>
      <c r="H26" s="35" t="s">
        <v>130</v>
      </c>
    </row>
    <row r="27" spans="1:8" ht="27.6" customHeight="1" x14ac:dyDescent="0.2">
      <c r="B27" s="32" t="s">
        <v>136</v>
      </c>
      <c r="C27" s="34" t="s">
        <v>26</v>
      </c>
      <c r="G27" s="32" t="s">
        <v>95</v>
      </c>
      <c r="H27" s="35" t="s">
        <v>130</v>
      </c>
    </row>
    <row r="28" spans="1:8" ht="27" customHeight="1" x14ac:dyDescent="0.2">
      <c r="B28" s="32" t="s">
        <v>151</v>
      </c>
      <c r="C28" s="34" t="s">
        <v>26</v>
      </c>
      <c r="G28" s="32" t="s">
        <v>131</v>
      </c>
      <c r="H28" s="35" t="s">
        <v>130</v>
      </c>
    </row>
    <row r="29" spans="1:8" ht="25.5" customHeight="1" x14ac:dyDescent="0.2">
      <c r="B29" s="32" t="s">
        <v>152</v>
      </c>
      <c r="C29" s="34" t="s">
        <v>26</v>
      </c>
      <c r="G29" s="32" t="s">
        <v>132</v>
      </c>
      <c r="H29" s="35" t="s">
        <v>130</v>
      </c>
    </row>
    <row r="30" spans="1:8" ht="27.75" customHeight="1" x14ac:dyDescent="0.2">
      <c r="B30" s="32" t="s">
        <v>153</v>
      </c>
      <c r="C30" s="34" t="s">
        <v>26</v>
      </c>
      <c r="G30" s="32" t="s">
        <v>129</v>
      </c>
      <c r="H30" s="35" t="s">
        <v>130</v>
      </c>
    </row>
    <row r="31" spans="1:8" ht="24.75" customHeight="1" x14ac:dyDescent="0.2">
      <c r="B31" s="32" t="s">
        <v>154</v>
      </c>
      <c r="C31" s="34" t="s">
        <v>26</v>
      </c>
      <c r="G31" s="32" t="s">
        <v>133</v>
      </c>
      <c r="H31" s="35" t="s">
        <v>130</v>
      </c>
    </row>
    <row r="32" spans="1:8" ht="24.75" customHeight="1" x14ac:dyDescent="0.2">
      <c r="B32" s="32" t="s">
        <v>155</v>
      </c>
      <c r="C32" s="34" t="s">
        <v>26</v>
      </c>
      <c r="G32" s="32" t="s">
        <v>137</v>
      </c>
      <c r="H32" s="35" t="s">
        <v>130</v>
      </c>
    </row>
    <row r="33" spans="2:10" ht="25.5" customHeight="1" x14ac:dyDescent="0.2">
      <c r="B33" s="32" t="s">
        <v>156</v>
      </c>
      <c r="C33" s="34" t="s">
        <v>26</v>
      </c>
      <c r="G33" s="32" t="s">
        <v>145</v>
      </c>
      <c r="H33" s="35" t="s">
        <v>130</v>
      </c>
    </row>
    <row r="34" spans="2:10" ht="25.5" customHeight="1" x14ac:dyDescent="0.2">
      <c r="B34" s="32" t="s">
        <v>157</v>
      </c>
      <c r="C34" s="34" t="s">
        <v>26</v>
      </c>
      <c r="G34" s="32" t="s">
        <v>134</v>
      </c>
      <c r="H34" s="35" t="s">
        <v>130</v>
      </c>
      <c r="J34" s="75"/>
    </row>
    <row r="35" spans="2:10" ht="26.25" customHeight="1" x14ac:dyDescent="0.2">
      <c r="B35" s="32" t="s">
        <v>158</v>
      </c>
      <c r="C35" s="34" t="s">
        <v>26</v>
      </c>
      <c r="G35" s="32" t="s">
        <v>135</v>
      </c>
      <c r="H35" s="35" t="s">
        <v>130</v>
      </c>
    </row>
    <row r="36" spans="2:10" ht="25.5" customHeight="1" x14ac:dyDescent="0.2">
      <c r="B36" s="32" t="s">
        <v>159</v>
      </c>
      <c r="C36" s="34" t="s">
        <v>26</v>
      </c>
      <c r="G36" s="32" t="s">
        <v>140</v>
      </c>
      <c r="H36" s="35" t="s">
        <v>130</v>
      </c>
    </row>
    <row r="37" spans="2:10" ht="24.6" customHeight="1" x14ac:dyDescent="0.2">
      <c r="B37" s="32" t="s">
        <v>160</v>
      </c>
      <c r="C37" s="34" t="s">
        <v>26</v>
      </c>
      <c r="G37" s="32" t="s">
        <v>143</v>
      </c>
      <c r="H37" s="35" t="s">
        <v>130</v>
      </c>
    </row>
    <row r="38" spans="2:10" ht="25.5" x14ac:dyDescent="0.2">
      <c r="B38" s="32" t="s">
        <v>161</v>
      </c>
      <c r="C38" s="34" t="s">
        <v>26</v>
      </c>
      <c r="G38" s="32" t="s">
        <v>144</v>
      </c>
      <c r="H38" s="35" t="s">
        <v>130</v>
      </c>
    </row>
    <row r="39" spans="2:10" x14ac:dyDescent="0.2">
      <c r="B39" s="32" t="s">
        <v>115</v>
      </c>
      <c r="C39" s="34" t="s">
        <v>26</v>
      </c>
      <c r="G39" s="32" t="s">
        <v>106</v>
      </c>
      <c r="H39" s="35" t="s">
        <v>25</v>
      </c>
    </row>
    <row r="40" spans="2:10" x14ac:dyDescent="0.2">
      <c r="B40" s="32" t="s">
        <v>114</v>
      </c>
      <c r="C40" s="34" t="s">
        <v>26</v>
      </c>
      <c r="G40" s="32" t="s">
        <v>107</v>
      </c>
      <c r="H40" s="35" t="s">
        <v>25</v>
      </c>
    </row>
    <row r="41" spans="2:10" ht="25.5" x14ac:dyDescent="0.2">
      <c r="B41" s="32" t="s">
        <v>146</v>
      </c>
      <c r="C41" s="34" t="s">
        <v>26</v>
      </c>
      <c r="G41" s="32" t="s">
        <v>139</v>
      </c>
      <c r="H41" s="35" t="s">
        <v>25</v>
      </c>
    </row>
    <row r="42" spans="2:10" x14ac:dyDescent="0.2">
      <c r="B42" s="32" t="s">
        <v>111</v>
      </c>
      <c r="C42" s="34" t="s">
        <v>26</v>
      </c>
      <c r="G42" s="32" t="s">
        <v>108</v>
      </c>
      <c r="H42" s="35" t="s">
        <v>25</v>
      </c>
    </row>
    <row r="43" spans="2:10" x14ac:dyDescent="0.2">
      <c r="B43" s="32" t="s">
        <v>112</v>
      </c>
      <c r="C43" s="34" t="s">
        <v>26</v>
      </c>
      <c r="G43" s="32" t="s">
        <v>109</v>
      </c>
      <c r="H43" s="35" t="s">
        <v>25</v>
      </c>
    </row>
    <row r="44" spans="2:10" x14ac:dyDescent="0.2">
      <c r="B44" s="32" t="s">
        <v>113</v>
      </c>
      <c r="C44" s="34" t="s">
        <v>26</v>
      </c>
      <c r="G44" s="32" t="s">
        <v>110</v>
      </c>
      <c r="H44" s="35" t="s">
        <v>25</v>
      </c>
    </row>
    <row r="45" spans="2:10" x14ac:dyDescent="0.2">
      <c r="B45" s="32" t="s">
        <v>116</v>
      </c>
      <c r="C45" s="34" t="s">
        <v>26</v>
      </c>
      <c r="G45" s="32" t="s">
        <v>117</v>
      </c>
      <c r="H45" s="35" t="s">
        <v>25</v>
      </c>
    </row>
    <row r="46" spans="2:10" ht="24.6" customHeight="1" x14ac:dyDescent="0.2">
      <c r="B46" s="32" t="s">
        <v>147</v>
      </c>
      <c r="C46" s="34" t="s">
        <v>26</v>
      </c>
      <c r="G46" s="32" t="s">
        <v>138</v>
      </c>
      <c r="H46" s="35" t="s">
        <v>25</v>
      </c>
    </row>
    <row r="47" spans="2:10" x14ac:dyDescent="0.2">
      <c r="B47" s="32" t="s">
        <v>118</v>
      </c>
      <c r="C47" s="34" t="s">
        <v>26</v>
      </c>
      <c r="G47" s="32" t="s">
        <v>119</v>
      </c>
      <c r="H47" s="35" t="s">
        <v>25</v>
      </c>
    </row>
    <row r="48" spans="2:10" x14ac:dyDescent="0.2">
      <c r="B48" s="32" t="s">
        <v>120</v>
      </c>
      <c r="C48" s="34" t="s">
        <v>26</v>
      </c>
      <c r="G48" s="32" t="s">
        <v>121</v>
      </c>
      <c r="H48" s="35" t="s">
        <v>25</v>
      </c>
    </row>
    <row r="49" spans="2:8" ht="25.5" x14ac:dyDescent="0.2">
      <c r="B49" s="32" t="s">
        <v>122</v>
      </c>
      <c r="C49" s="34" t="s">
        <v>26</v>
      </c>
      <c r="G49" s="32" t="s">
        <v>123</v>
      </c>
      <c r="H49" s="35" t="s">
        <v>25</v>
      </c>
    </row>
    <row r="50" spans="2:8" ht="30" customHeight="1" x14ac:dyDescent="0.2">
      <c r="B50" s="32" t="s">
        <v>125</v>
      </c>
      <c r="C50" s="34" t="s">
        <v>26</v>
      </c>
      <c r="G50" s="32" t="s">
        <v>127</v>
      </c>
      <c r="H50" s="35" t="s">
        <v>25</v>
      </c>
    </row>
    <row r="51" spans="2:8" ht="25.5" x14ac:dyDescent="0.2">
      <c r="B51" s="35" t="s">
        <v>124</v>
      </c>
      <c r="C51" s="34" t="s">
        <v>26</v>
      </c>
      <c r="G51" s="32" t="s">
        <v>126</v>
      </c>
      <c r="H51" s="35" t="s">
        <v>25</v>
      </c>
    </row>
  </sheetData>
  <phoneticPr fontId="2" type="noConversion"/>
  <conditionalFormatting sqref="A52:G158 A4:G4 C5:C6 B7:H9 B25:D32 A10:G10 B33:F51 E23:F32 A23:A51 C23:D24 G24:G51">
    <cfRule type="expression" dxfId="146" priority="186" stopIfTrue="1">
      <formula>$C4="Done"</formula>
    </cfRule>
    <cfRule type="expression" dxfId="145" priority="187" stopIfTrue="1">
      <formula>$C4="Ongoing"</formula>
    </cfRule>
    <cfRule type="expression" dxfId="144" priority="188" stopIfTrue="1">
      <formula>$C4="Removed"</formula>
    </cfRule>
  </conditionalFormatting>
  <conditionalFormatting sqref="H4">
    <cfRule type="expression" dxfId="143" priority="183" stopIfTrue="1">
      <formula>$C4="Done"</formula>
    </cfRule>
    <cfRule type="expression" dxfId="142" priority="184" stopIfTrue="1">
      <formula>$C4="Ongoing"</formula>
    </cfRule>
    <cfRule type="expression" dxfId="141" priority="185" stopIfTrue="1">
      <formula>$C4="Removed"</formula>
    </cfRule>
  </conditionalFormatting>
  <conditionalFormatting sqref="A5:A9">
    <cfRule type="expression" dxfId="140" priority="85" stopIfTrue="1">
      <formula>$D5="Done"</formula>
    </cfRule>
    <cfRule type="expression" dxfId="139" priority="86" stopIfTrue="1">
      <formula>$D5="Ongoing"</formula>
    </cfRule>
  </conditionalFormatting>
  <conditionalFormatting sqref="G5:G6">
    <cfRule type="expression" dxfId="138" priority="82" stopIfTrue="1">
      <formula>$C5="Done"</formula>
    </cfRule>
    <cfRule type="expression" dxfId="137" priority="83" stopIfTrue="1">
      <formula>$C5="Ongoing"</formula>
    </cfRule>
    <cfRule type="expression" dxfId="136" priority="84" stopIfTrue="1">
      <formula>$C5="Removed"</formula>
    </cfRule>
  </conditionalFormatting>
  <conditionalFormatting sqref="B5:B6">
    <cfRule type="expression" dxfId="135" priority="76" stopIfTrue="1">
      <formula>$C5="Done"</formula>
    </cfRule>
    <cfRule type="expression" dxfId="134" priority="77" stopIfTrue="1">
      <formula>$C5="Ongoing"</formula>
    </cfRule>
    <cfRule type="expression" dxfId="133" priority="78" stopIfTrue="1">
      <formula>$C5="Removed"</formula>
    </cfRule>
  </conditionalFormatting>
  <conditionalFormatting sqref="D5:F6">
    <cfRule type="expression" dxfId="132" priority="73" stopIfTrue="1">
      <formula>$C5="Done"</formula>
    </cfRule>
    <cfRule type="expression" dxfId="131" priority="74" stopIfTrue="1">
      <formula>$C5="Ongoing"</formula>
    </cfRule>
    <cfRule type="expression" dxfId="130" priority="75" stopIfTrue="1">
      <formula>$C5="Removed"</formula>
    </cfRule>
  </conditionalFormatting>
  <conditionalFormatting sqref="H5:H6">
    <cfRule type="expression" dxfId="129" priority="70" stopIfTrue="1">
      <formula>$C5="Done"</formula>
    </cfRule>
    <cfRule type="expression" dxfId="128" priority="71" stopIfTrue="1">
      <formula>$C5="Ongoing"</formula>
    </cfRule>
    <cfRule type="expression" dxfId="127" priority="72" stopIfTrue="1">
      <formula>$C5="Removed"</formula>
    </cfRule>
  </conditionalFormatting>
  <conditionalFormatting sqref="G7">
    <cfRule type="expression" dxfId="126" priority="67" stopIfTrue="1">
      <formula>$C7="Done"</formula>
    </cfRule>
    <cfRule type="expression" dxfId="125" priority="68" stopIfTrue="1">
      <formula>$C7="Ongoing"</formula>
    </cfRule>
    <cfRule type="expression" dxfId="124" priority="69" stopIfTrue="1">
      <formula>$C7="Removed"</formula>
    </cfRule>
  </conditionalFormatting>
  <conditionalFormatting sqref="B7">
    <cfRule type="expression" dxfId="123" priority="64" stopIfTrue="1">
      <formula>$C7="Done"</formula>
    </cfRule>
    <cfRule type="expression" dxfId="122" priority="65" stopIfTrue="1">
      <formula>$C7="Ongoing"</formula>
    </cfRule>
    <cfRule type="expression" dxfId="121" priority="66" stopIfTrue="1">
      <formula>$C7="Removed"</formula>
    </cfRule>
  </conditionalFormatting>
  <conditionalFormatting sqref="D7:F7">
    <cfRule type="expression" dxfId="120" priority="61" stopIfTrue="1">
      <formula>$C7="Done"</formula>
    </cfRule>
    <cfRule type="expression" dxfId="119" priority="62" stopIfTrue="1">
      <formula>$C7="Ongoing"</formula>
    </cfRule>
    <cfRule type="expression" dxfId="118" priority="63" stopIfTrue="1">
      <formula>$C7="Removed"</formula>
    </cfRule>
  </conditionalFormatting>
  <conditionalFormatting sqref="H7">
    <cfRule type="expression" dxfId="117" priority="58" stopIfTrue="1">
      <formula>$C7="Done"</formula>
    </cfRule>
    <cfRule type="expression" dxfId="116" priority="59" stopIfTrue="1">
      <formula>$C7="Ongoing"</formula>
    </cfRule>
    <cfRule type="expression" dxfId="115" priority="60" stopIfTrue="1">
      <formula>$C7="Removed"</formula>
    </cfRule>
  </conditionalFormatting>
  <conditionalFormatting sqref="G7">
    <cfRule type="expression" dxfId="114" priority="55" stopIfTrue="1">
      <formula>$C7="Done"</formula>
    </cfRule>
    <cfRule type="expression" dxfId="113" priority="56" stopIfTrue="1">
      <formula>$C7="Ongoing"</formula>
    </cfRule>
    <cfRule type="expression" dxfId="112" priority="57" stopIfTrue="1">
      <formula>$C7="Removed"</formula>
    </cfRule>
  </conditionalFormatting>
  <conditionalFormatting sqref="H5">
    <cfRule type="expression" dxfId="111" priority="52" stopIfTrue="1">
      <formula>$C5="Done"</formula>
    </cfRule>
    <cfRule type="expression" dxfId="110" priority="53" stopIfTrue="1">
      <formula>$C5="Ongoing"</formula>
    </cfRule>
    <cfRule type="expression" dxfId="109" priority="54" stopIfTrue="1">
      <formula>$C5="Removed"</formula>
    </cfRule>
  </conditionalFormatting>
  <conditionalFormatting sqref="H6">
    <cfRule type="expression" dxfId="108" priority="49" stopIfTrue="1">
      <formula>$C6="Done"</formula>
    </cfRule>
    <cfRule type="expression" dxfId="107" priority="50" stopIfTrue="1">
      <formula>$C6="Ongoing"</formula>
    </cfRule>
    <cfRule type="expression" dxfId="106" priority="51" stopIfTrue="1">
      <formula>$C6="Removed"</formula>
    </cfRule>
  </conditionalFormatting>
  <conditionalFormatting sqref="H7">
    <cfRule type="expression" dxfId="105" priority="46" stopIfTrue="1">
      <formula>$C7="Done"</formula>
    </cfRule>
    <cfRule type="expression" dxfId="104" priority="47" stopIfTrue="1">
      <formula>$C7="Ongoing"</formula>
    </cfRule>
    <cfRule type="expression" dxfId="103" priority="48" stopIfTrue="1">
      <formula>$C7="Removed"</formula>
    </cfRule>
  </conditionalFormatting>
  <conditionalFormatting sqref="B24">
    <cfRule type="expression" dxfId="102" priority="19" stopIfTrue="1">
      <formula>$C24="Done"</formula>
    </cfRule>
    <cfRule type="expression" dxfId="101" priority="20" stopIfTrue="1">
      <formula>$C24="Ongoing"</formula>
    </cfRule>
    <cfRule type="expression" dxfId="100" priority="21" stopIfTrue="1">
      <formula>$C24="Removed"</formula>
    </cfRule>
  </conditionalFormatting>
  <conditionalFormatting sqref="C22">
    <cfRule type="expression" dxfId="99" priority="13" stopIfTrue="1">
      <formula>$C22="Done"</formula>
    </cfRule>
    <cfRule type="expression" dxfId="98" priority="14" stopIfTrue="1">
      <formula>$C22="Ongoing"</formula>
    </cfRule>
    <cfRule type="expression" dxfId="97" priority="15" stopIfTrue="1">
      <formula>$C22="Removed"</formula>
    </cfRule>
  </conditionalFormatting>
  <conditionalFormatting sqref="G22">
    <cfRule type="expression" dxfId="96" priority="10" stopIfTrue="1">
      <formula>$C22="Done"</formula>
    </cfRule>
    <cfRule type="expression" dxfId="95" priority="11" stopIfTrue="1">
      <formula>$C22="Ongoing"</formula>
    </cfRule>
    <cfRule type="expression" dxfId="94" priority="12" stopIfTrue="1">
      <formula>$C22="Removed"</formula>
    </cfRule>
  </conditionalFormatting>
  <conditionalFormatting sqref="G23">
    <cfRule type="expression" dxfId="93" priority="7" stopIfTrue="1">
      <formula>$C23="Done"</formula>
    </cfRule>
    <cfRule type="expression" dxfId="92" priority="8" stopIfTrue="1">
      <formula>$C23="Ongoing"</formula>
    </cfRule>
    <cfRule type="expression" dxfId="91" priority="9" stopIfTrue="1">
      <formula>$C23="Removed"</formula>
    </cfRule>
  </conditionalFormatting>
  <dataValidations count="1">
    <dataValidation type="list" allowBlank="1" showInputMessage="1" sqref="C4:C10 C22:C158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27</v>
      </c>
    </row>
    <row r="3" spans="1:26" x14ac:dyDescent="0.2">
      <c r="A3" t="s">
        <v>28</v>
      </c>
      <c r="D3">
        <f>35*3</f>
        <v>105</v>
      </c>
      <c r="F3" t="s">
        <v>29</v>
      </c>
      <c r="G3" s="55">
        <f>IF(COUNT(B28:B39)=0,1,COUNT(B28:B39))</f>
        <v>1</v>
      </c>
    </row>
    <row r="4" spans="1:26" x14ac:dyDescent="0.2">
      <c r="A4" t="s">
        <v>30</v>
      </c>
      <c r="D4">
        <v>3</v>
      </c>
      <c r="E4" t="s">
        <v>31</v>
      </c>
      <c r="F4" t="s">
        <v>32</v>
      </c>
      <c r="G4" s="55">
        <f>IF(COUNT(D28:D51)=0,1,COUNT(D28:D51)+1)</f>
        <v>1</v>
      </c>
    </row>
    <row r="5" spans="1:26" x14ac:dyDescent="0.2">
      <c r="F5" t="s">
        <v>33</v>
      </c>
      <c r="G5" s="55">
        <f>IF(G4&gt;D4,G4-D4,0)</f>
        <v>0</v>
      </c>
      <c r="Z5" s="38" t="s">
        <v>34</v>
      </c>
    </row>
    <row r="6" spans="1:26" x14ac:dyDescent="0.2">
      <c r="A6" s="1" t="s">
        <v>35</v>
      </c>
      <c r="F6" t="s">
        <v>36</v>
      </c>
      <c r="G6" s="55">
        <f>TrendSprintCount-TrendOffset</f>
        <v>1</v>
      </c>
      <c r="Z6" s="38" t="s">
        <v>37</v>
      </c>
    </row>
    <row r="7" spans="1:26" x14ac:dyDescent="0.2">
      <c r="A7" t="s">
        <v>38</v>
      </c>
      <c r="D7">
        <v>35</v>
      </c>
      <c r="Z7" s="38" t="s">
        <v>39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40</v>
      </c>
    </row>
    <row r="9" spans="1:26" x14ac:dyDescent="0.2">
      <c r="A9" t="s">
        <v>41</v>
      </c>
      <c r="D9" s="58" t="str">
        <f ca="1">IF(D28="","",AVERAGE(OFFSET(D27,1,0,SprintCount,1)))</f>
        <v/>
      </c>
      <c r="F9" t="s">
        <v>42</v>
      </c>
      <c r="G9" s="55">
        <f ca="1">IF(M28="",1,COUNT(M28:M110))</f>
        <v>1</v>
      </c>
      <c r="Z9" s="38" t="s">
        <v>43</v>
      </c>
    </row>
    <row r="10" spans="1:26" x14ac:dyDescent="0.2">
      <c r="A10" t="s">
        <v>44</v>
      </c>
      <c r="D10" s="58" t="str">
        <f>IF(D28="","",AVERAGE(LastEight))</f>
        <v/>
      </c>
      <c r="Z10" s="38" t="s">
        <v>45</v>
      </c>
    </row>
    <row r="11" spans="1:26" x14ac:dyDescent="0.2">
      <c r="A11" t="s">
        <v>46</v>
      </c>
      <c r="D11" s="58" t="str">
        <f>IF(D28="","",IF(TrendSprintCount&lt;4,D10,AVERAGE(SMALL(LastEight,1),SMALL(LastEight,2),SMALL(LastEight,3))))</f>
        <v/>
      </c>
      <c r="Z11" s="38" t="s">
        <v>47</v>
      </c>
    </row>
    <row r="12" spans="1:26" x14ac:dyDescent="0.2">
      <c r="A12" t="s">
        <v>48</v>
      </c>
      <c r="D12" s="58" t="str">
        <f ca="1">IF(M29="","",M28-M29)</f>
        <v/>
      </c>
      <c r="Z12" s="38" t="s">
        <v>49</v>
      </c>
    </row>
    <row r="13" spans="1:26" x14ac:dyDescent="0.2">
      <c r="F13" s="56" t="s">
        <v>50</v>
      </c>
      <c r="Z13" s="38" t="s">
        <v>51</v>
      </c>
    </row>
    <row r="14" spans="1:26" x14ac:dyDescent="0.2">
      <c r="A14" s="1" t="s">
        <v>52</v>
      </c>
    </row>
    <row r="15" spans="1:26" x14ac:dyDescent="0.2">
      <c r="A15" t="s">
        <v>53</v>
      </c>
      <c r="D15" s="59">
        <f>IF(D7="",0,ROUNDUP(D3/D7*0.6,0))</f>
        <v>2</v>
      </c>
    </row>
    <row r="16" spans="1:26" x14ac:dyDescent="0.2">
      <c r="A16" t="s">
        <v>54</v>
      </c>
      <c r="D16" s="59">
        <f>IF(D7="",0,ROUNDUP(D3/D7,0))</f>
        <v>3</v>
      </c>
    </row>
    <row r="17" spans="1:17" x14ac:dyDescent="0.2">
      <c r="A17" t="s">
        <v>55</v>
      </c>
      <c r="D17" s="59">
        <f>IF(D7="",0,ROUNDUP(D3/D7*1.6,0))</f>
        <v>5</v>
      </c>
      <c r="F17" t="s">
        <v>56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57</v>
      </c>
      <c r="D19" s="59" t="str">
        <f ca="1">IF(D9="","",IF(LastRealized="",ROUNDUP(LastPlanned/D9+SprintCount-1,0),ROUNDUP((LastPlanned-LastRealized)/D9,0)+SprintCount))</f>
        <v/>
      </c>
      <c r="F19" t="s">
        <v>58</v>
      </c>
      <c r="G19">
        <f ca="1">LastPlanned</f>
        <v>105</v>
      </c>
    </row>
    <row r="20" spans="1:17" x14ac:dyDescent="0.2">
      <c r="A20" t="s">
        <v>44</v>
      </c>
      <c r="D20" s="59" t="str">
        <f>IF(D10="","",IF(LastRealized="",ROUNDUP(LastPlanned/D10+SprintCount-1,0),ROUNDUP((LastPlanned-LastRealized)/D10,0)+SprintCount))</f>
        <v/>
      </c>
      <c r="F20" t="s">
        <v>59</v>
      </c>
      <c r="G20">
        <f ca="1">LastRealized</f>
        <v>1</v>
      </c>
    </row>
    <row r="21" spans="1:17" x14ac:dyDescent="0.2">
      <c r="A21" t="s">
        <v>46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48</v>
      </c>
      <c r="D22" s="59" t="str">
        <f ca="1">IF(COUNT(M28:M51)-1&gt;0,COUNT(M28:M51)-1,"")</f>
        <v/>
      </c>
    </row>
    <row r="23" spans="1:17" x14ac:dyDescent="0.2">
      <c r="A23" t="s">
        <v>60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61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48</v>
      </c>
      <c r="G26" s="84"/>
      <c r="H26" s="84"/>
      <c r="I26" s="84"/>
      <c r="J26" s="84"/>
      <c r="K26" s="84"/>
      <c r="L26" s="84"/>
      <c r="M26" s="84"/>
      <c r="N26" s="84"/>
      <c r="O26" s="84" t="s">
        <v>62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63</v>
      </c>
      <c r="C27" s="61" t="s">
        <v>64</v>
      </c>
      <c r="D27" s="62" t="s">
        <v>65</v>
      </c>
      <c r="E27" s="62" t="s">
        <v>66</v>
      </c>
      <c r="F27" s="80" t="s">
        <v>67</v>
      </c>
      <c r="G27" s="83" t="s">
        <v>68</v>
      </c>
      <c r="H27" s="83"/>
      <c r="I27" s="80" t="s">
        <v>69</v>
      </c>
      <c r="J27" s="63"/>
      <c r="K27" s="80" t="s">
        <v>70</v>
      </c>
      <c r="L27" s="80" t="s">
        <v>71</v>
      </c>
      <c r="M27" s="80" t="s">
        <v>72</v>
      </c>
      <c r="N27" s="64" t="s">
        <v>73</v>
      </c>
      <c r="O27" s="80" t="s">
        <v>74</v>
      </c>
      <c r="P27" s="80" t="s">
        <v>75</v>
      </c>
      <c r="Q27" s="80" t="s">
        <v>76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90" priority="1" stopIfTrue="1">
      <formula>$D26="Done"</formula>
    </cfRule>
    <cfRule type="expression" dxfId="89" priority="2" stopIfTrue="1">
      <formula>$D26="Ongoing"</formula>
    </cfRule>
    <cfRule type="expression" dxfId="88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I24" sqref="I24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79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77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78</v>
      </c>
      <c r="B9" s="36">
        <v>5</v>
      </c>
      <c r="C9" s="18"/>
      <c r="D9" s="16"/>
      <c r="E9" s="20" t="s">
        <v>79</v>
      </c>
      <c r="F9" s="20" t="s">
        <v>80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81</v>
      </c>
      <c r="B10" s="36">
        <v>5</v>
      </c>
      <c r="C10" s="18" t="s">
        <v>3</v>
      </c>
      <c r="D10" s="18" t="s">
        <v>82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83</v>
      </c>
      <c r="B11" s="2">
        <f>IF(COUNTA(A15:A242)=0,1,COUNTA(A15:A242))</f>
        <v>4</v>
      </c>
      <c r="C11" t="s">
        <v>84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85</v>
      </c>
      <c r="B12"/>
      <c r="C12" t="s">
        <v>48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86</v>
      </c>
      <c r="B13"/>
      <c r="C13" t="s">
        <v>87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88</v>
      </c>
      <c r="B14" s="19" t="s">
        <v>18</v>
      </c>
      <c r="C14" s="18" t="s">
        <v>89</v>
      </c>
      <c r="D14" s="18" t="s">
        <v>6</v>
      </c>
      <c r="E14" s="19" t="s">
        <v>90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91</v>
      </c>
      <c r="D15" t="s">
        <v>23</v>
      </c>
      <c r="E15" s="2">
        <v>0</v>
      </c>
      <c r="F15" s="2">
        <v>0</v>
      </c>
      <c r="G15" s="2">
        <v>0</v>
      </c>
    </row>
    <row r="16" spans="1:30" x14ac:dyDescent="0.2">
      <c r="A16" t="s">
        <v>92</v>
      </c>
      <c r="D16" t="s">
        <v>23</v>
      </c>
      <c r="E16" s="2">
        <v>0</v>
      </c>
      <c r="F16" s="2">
        <v>0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93</v>
      </c>
      <c r="D17" t="s">
        <v>23</v>
      </c>
      <c r="E17" s="2">
        <v>0</v>
      </c>
      <c r="F17" s="2">
        <v>0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94</v>
      </c>
      <c r="D18" t="s">
        <v>23</v>
      </c>
      <c r="E18" s="2">
        <v>0</v>
      </c>
      <c r="F18" s="2">
        <v>0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87" priority="1" stopIfTrue="1">
      <formula>$D15="Done"</formula>
    </cfRule>
    <cfRule type="expression" dxfId="86" priority="2" stopIfTrue="1">
      <formula>$D15="Ongoing"</formula>
    </cfRule>
  </conditionalFormatting>
  <conditionalFormatting sqref="A15:I18">
    <cfRule type="expression" dxfId="85" priority="3" stopIfTrue="1">
      <formula>$D15="Done"</formula>
    </cfRule>
    <cfRule type="expression" dxfId="84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8"/>
  <sheetViews>
    <sheetView tabSelected="1" zoomScale="120" zoomScaleNormal="120" workbookViewId="0">
      <pane ySplit="14" topLeftCell="A26" activePane="bottomLeft" state="frozen"/>
      <selection pane="bottomLeft" activeCell="E44" sqref="E44"/>
    </sheetView>
  </sheetViews>
  <sheetFormatPr baseColWidth="10" defaultColWidth="9.140625" defaultRowHeight="12.75" x14ac:dyDescent="0.2"/>
  <cols>
    <col min="1" max="1" width="78.7109375" style="35" bestFit="1" customWidth="1"/>
    <col min="2" max="2" width="8.5703125" style="34" customWidth="1"/>
    <col min="3" max="3" width="13.7109375" style="34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78</v>
      </c>
      <c r="B9" s="69">
        <v>5</v>
      </c>
      <c r="C9" s="72"/>
      <c r="D9" s="70"/>
      <c r="E9" s="68" t="s">
        <v>79</v>
      </c>
      <c r="F9" s="68" t="s">
        <v>80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81</v>
      </c>
      <c r="B10" s="69">
        <v>5</v>
      </c>
      <c r="C10" s="72" t="s">
        <v>3</v>
      </c>
      <c r="D10" s="68" t="s">
        <v>82</v>
      </c>
      <c r="E10" s="71">
        <f ca="1">SUM(OFFSET(E14,1,0,TaskRows,1))</f>
        <v>97</v>
      </c>
      <c r="F10" s="71">
        <f ca="1">IF(AND(SUM(OFFSET(F14,1,0,TaskRows,1))=0),0,SUM(OFFSET(F14,1,0,TaskRows,1)))</f>
        <v>35</v>
      </c>
      <c r="G10" s="71" t="str">
        <f t="shared" ref="G10:AD10" ca="1" si="0">IF(AND(SUM(OFFSET(G14,1,0,TaskRows,1))=0),"",SUM(OFFSET(G14,1,0,TaskRows,1)))</f>
        <v/>
      </c>
      <c r="H10" s="71" t="str">
        <f t="shared" ca="1" si="0"/>
        <v/>
      </c>
      <c r="I10" s="71" t="str">
        <f t="shared" ca="1" si="0"/>
        <v/>
      </c>
      <c r="J10" s="71" t="str">
        <f t="shared" ca="1" si="0"/>
        <v/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83</v>
      </c>
      <c r="B11" s="2">
        <f>IF(COUNTA(A15:A243)=0,1,COUNTA(A15:A243))</f>
        <v>23</v>
      </c>
      <c r="C11" s="2" t="s">
        <v>84</v>
      </c>
      <c r="D11" s="2">
        <f ca="1">IF(COUNTIF(F10:AD10,"&gt;0")=0,1,COUNTIF(F10:AD10,"&gt;0"))</f>
        <v>1</v>
      </c>
      <c r="E11" s="2"/>
      <c r="F11" s="2">
        <f ca="1">IF(F14="","",$E10-$E10/($B9-1)*(F14-1))</f>
        <v>97</v>
      </c>
      <c r="G11" s="2">
        <f t="shared" ref="G11:AD11" ca="1" si="1">IF(G14="","",TotalEffort-TotalEffort/(ImplementationDays)*(G14-1))</f>
        <v>77.599999999999994</v>
      </c>
      <c r="H11" s="2">
        <f t="shared" ca="1" si="1"/>
        <v>58.2</v>
      </c>
      <c r="I11" s="2">
        <f t="shared" ca="1" si="1"/>
        <v>38.800000000000004</v>
      </c>
      <c r="J11" s="2">
        <f t="shared" ca="1" si="1"/>
        <v>19.400000000000006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85</v>
      </c>
      <c r="C12" s="2" t="s">
        <v>48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35</v>
      </c>
      <c r="G12" s="2">
        <f t="shared" ca="1" si="2"/>
        <v>35</v>
      </c>
      <c r="H12" s="2">
        <f t="shared" ca="1" si="2"/>
        <v>35</v>
      </c>
      <c r="I12" s="2">
        <f t="shared" ca="1" si="2"/>
        <v>35</v>
      </c>
      <c r="J12" s="2">
        <f t="shared" ca="1" si="2"/>
        <v>35</v>
      </c>
      <c r="K12" s="2">
        <f t="shared" ca="1" si="2"/>
        <v>35</v>
      </c>
      <c r="L12" s="2">
        <f t="shared" ca="1" si="2"/>
        <v>35</v>
      </c>
      <c r="M12" s="2">
        <f t="shared" ca="1" si="2"/>
        <v>35</v>
      </c>
      <c r="N12" s="2">
        <f t="shared" ca="1" si="2"/>
        <v>35</v>
      </c>
      <c r="O12" s="2">
        <f t="shared" ca="1" si="2"/>
        <v>35</v>
      </c>
      <c r="P12" s="2">
        <f t="shared" ca="1" si="2"/>
        <v>35</v>
      </c>
      <c r="Q12" s="2">
        <f t="shared" ca="1" si="2"/>
        <v>35</v>
      </c>
      <c r="R12" s="2">
        <f t="shared" ca="1" si="2"/>
        <v>35</v>
      </c>
      <c r="S12" s="2">
        <f t="shared" ca="1" si="2"/>
        <v>35</v>
      </c>
      <c r="T12" s="2">
        <f t="shared" ca="1" si="2"/>
        <v>35</v>
      </c>
      <c r="U12" s="2">
        <f t="shared" ca="1" si="2"/>
        <v>35</v>
      </c>
      <c r="V12" s="2">
        <f t="shared" ca="1" si="2"/>
        <v>35</v>
      </c>
      <c r="W12" s="2">
        <f t="shared" ca="1" si="2"/>
        <v>35</v>
      </c>
      <c r="X12" s="2">
        <f t="shared" ca="1" si="2"/>
        <v>35</v>
      </c>
      <c r="Y12" s="2">
        <f t="shared" ca="1" si="2"/>
        <v>35</v>
      </c>
      <c r="Z12" s="2">
        <f t="shared" ca="1" si="2"/>
        <v>35</v>
      </c>
      <c r="AA12" s="2">
        <f t="shared" ca="1" si="2"/>
        <v>35</v>
      </c>
      <c r="AB12" s="2">
        <f t="shared" ca="1" si="2"/>
        <v>35</v>
      </c>
      <c r="AC12" s="2">
        <f t="shared" ca="1" si="2"/>
        <v>35</v>
      </c>
      <c r="AD12" s="2">
        <f t="shared" ca="1" si="2"/>
        <v>35</v>
      </c>
    </row>
    <row r="13" spans="1:30" customFormat="1" hidden="1" x14ac:dyDescent="0.2">
      <c r="A13" s="56" t="s">
        <v>86</v>
      </c>
      <c r="C13" s="2" t="s">
        <v>87</v>
      </c>
      <c r="D13" s="2">
        <f ca="1">IF(DoneDays&gt;B10,B10,DoneDays)</f>
        <v>1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88</v>
      </c>
      <c r="B14" s="72" t="s">
        <v>18</v>
      </c>
      <c r="C14" s="72" t="s">
        <v>89</v>
      </c>
      <c r="D14" s="68" t="s">
        <v>6</v>
      </c>
      <c r="E14" s="72" t="s">
        <v>90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102</v>
      </c>
      <c r="B15" s="34">
        <v>3</v>
      </c>
      <c r="C15" s="2" t="s">
        <v>101</v>
      </c>
      <c r="D15" s="35" t="s">
        <v>23</v>
      </c>
      <c r="E15" s="34">
        <v>1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103</v>
      </c>
      <c r="B16" s="34">
        <v>4</v>
      </c>
      <c r="C16" s="2" t="s">
        <v>100</v>
      </c>
      <c r="D16" s="35" t="s">
        <v>24</v>
      </c>
      <c r="E16" s="34">
        <v>2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</row>
    <row r="17" spans="1:13" x14ac:dyDescent="0.2">
      <c r="A17" s="35" t="s">
        <v>104</v>
      </c>
      <c r="B17" s="34">
        <v>3</v>
      </c>
      <c r="C17" s="2" t="s">
        <v>105</v>
      </c>
      <c r="D17" s="35" t="s">
        <v>24</v>
      </c>
      <c r="E17" s="34">
        <v>3</v>
      </c>
      <c r="F17" s="34">
        <v>0</v>
      </c>
      <c r="G17" s="34">
        <v>0</v>
      </c>
      <c r="H17" s="34">
        <v>0</v>
      </c>
      <c r="I17" s="34">
        <v>0</v>
      </c>
      <c r="J17" s="34">
        <v>0</v>
      </c>
    </row>
    <row r="18" spans="1:13" x14ac:dyDescent="0.2">
      <c r="C18" s="2"/>
    </row>
    <row r="19" spans="1:13" x14ac:dyDescent="0.2">
      <c r="C19" s="2"/>
    </row>
    <row r="20" spans="1:13" x14ac:dyDescent="0.2">
      <c r="A20" s="35" t="s">
        <v>168</v>
      </c>
      <c r="B20" s="34">
        <v>1</v>
      </c>
      <c r="C20" s="34" t="s">
        <v>162</v>
      </c>
      <c r="D20" s="35" t="s">
        <v>24</v>
      </c>
      <c r="E20" s="34">
        <v>7</v>
      </c>
      <c r="F20" s="34">
        <v>7</v>
      </c>
      <c r="G20" s="34">
        <v>0</v>
      </c>
      <c r="H20" s="34">
        <v>0</v>
      </c>
      <c r="I20" s="34">
        <v>0</v>
      </c>
      <c r="J20" s="34">
        <v>0</v>
      </c>
    </row>
    <row r="21" spans="1:13" x14ac:dyDescent="0.2">
      <c r="A21" s="35" t="s">
        <v>169</v>
      </c>
      <c r="B21" s="34">
        <v>2</v>
      </c>
      <c r="C21" s="34" t="s">
        <v>164</v>
      </c>
      <c r="D21" s="35" t="s">
        <v>24</v>
      </c>
      <c r="E21" s="34">
        <v>7</v>
      </c>
      <c r="F21" s="34">
        <v>7</v>
      </c>
      <c r="G21" s="34">
        <v>0</v>
      </c>
      <c r="H21" s="34">
        <v>0</v>
      </c>
      <c r="I21" s="34">
        <v>0</v>
      </c>
      <c r="J21" s="34">
        <v>0</v>
      </c>
    </row>
    <row r="22" spans="1:13" x14ac:dyDescent="0.2">
      <c r="A22" s="35" t="s">
        <v>166</v>
      </c>
      <c r="B22" s="34">
        <v>3</v>
      </c>
      <c r="C22" s="2" t="s">
        <v>163</v>
      </c>
      <c r="D22" s="35" t="s">
        <v>24</v>
      </c>
      <c r="E22" s="34">
        <v>7</v>
      </c>
      <c r="F22" s="34">
        <v>7</v>
      </c>
      <c r="G22" s="34">
        <v>0</v>
      </c>
      <c r="H22" s="34">
        <v>0</v>
      </c>
      <c r="I22" s="34">
        <v>0</v>
      </c>
      <c r="J22" s="34">
        <v>0</v>
      </c>
    </row>
    <row r="23" spans="1:13" ht="15" customHeight="1" x14ac:dyDescent="0.2">
      <c r="A23" s="35" t="s">
        <v>167</v>
      </c>
      <c r="B23" s="34">
        <v>3</v>
      </c>
      <c r="C23" s="2" t="s">
        <v>163</v>
      </c>
      <c r="D23" s="35" t="s">
        <v>24</v>
      </c>
      <c r="E23" s="34">
        <v>7</v>
      </c>
      <c r="F23" s="34">
        <v>7</v>
      </c>
      <c r="G23" s="34">
        <v>0</v>
      </c>
      <c r="H23" s="34">
        <v>0</v>
      </c>
      <c r="I23" s="34">
        <v>0</v>
      </c>
      <c r="J23" s="34">
        <v>0</v>
      </c>
    </row>
    <row r="24" spans="1:13" ht="15" customHeight="1" x14ac:dyDescent="0.2">
      <c r="A24" s="35" t="s">
        <v>170</v>
      </c>
      <c r="B24" s="34">
        <v>4</v>
      </c>
      <c r="C24" s="2" t="s">
        <v>165</v>
      </c>
      <c r="D24" s="35" t="s">
        <v>24</v>
      </c>
      <c r="E24" s="34">
        <v>7</v>
      </c>
      <c r="F24" s="34">
        <v>7</v>
      </c>
      <c r="G24" s="34">
        <v>0</v>
      </c>
      <c r="H24" s="34">
        <v>0</v>
      </c>
      <c r="I24" s="34">
        <v>0</v>
      </c>
      <c r="J24" s="34">
        <v>0</v>
      </c>
    </row>
    <row r="25" spans="1:13" ht="15" customHeight="1" x14ac:dyDescent="0.2">
      <c r="C25" s="2"/>
    </row>
    <row r="26" spans="1:13" x14ac:dyDescent="0.2">
      <c r="A26" s="35" t="s">
        <v>174</v>
      </c>
      <c r="C26" s="2"/>
    </row>
    <row r="27" spans="1:13" x14ac:dyDescent="0.2">
      <c r="C27" s="2"/>
    </row>
    <row r="28" spans="1:13" x14ac:dyDescent="0.2">
      <c r="A28" s="35" t="s">
        <v>171</v>
      </c>
      <c r="C28" s="2"/>
    </row>
    <row r="29" spans="1:13" x14ac:dyDescent="0.2">
      <c r="A29" s="35" t="s">
        <v>172</v>
      </c>
      <c r="C29" s="2"/>
    </row>
    <row r="30" spans="1:13" x14ac:dyDescent="0.2">
      <c r="A30" s="35" t="s">
        <v>173</v>
      </c>
      <c r="C30" s="2"/>
    </row>
    <row r="31" spans="1:13" x14ac:dyDescent="0.2">
      <c r="C31" s="2"/>
    </row>
    <row r="32" spans="1:13" x14ac:dyDescent="0.2">
      <c r="A32" s="35" t="s">
        <v>183</v>
      </c>
      <c r="B32" s="34">
        <v>1</v>
      </c>
      <c r="C32" s="2" t="s">
        <v>164</v>
      </c>
      <c r="D32" s="35" t="s">
        <v>24</v>
      </c>
      <c r="E32" s="34">
        <v>20</v>
      </c>
      <c r="M32" s="86" t="s">
        <v>192</v>
      </c>
    </row>
    <row r="33" spans="1:30" x14ac:dyDescent="0.2">
      <c r="A33" s="35" t="s">
        <v>177</v>
      </c>
      <c r="B33" s="34">
        <v>1</v>
      </c>
      <c r="C33" s="34" t="s">
        <v>165</v>
      </c>
      <c r="D33" s="35" t="s">
        <v>24</v>
      </c>
      <c r="E33" s="34">
        <v>6</v>
      </c>
    </row>
    <row r="34" spans="1:30" x14ac:dyDescent="0.2">
      <c r="A34" s="35" t="s">
        <v>178</v>
      </c>
      <c r="B34" s="34">
        <v>2</v>
      </c>
      <c r="C34" s="2" t="s">
        <v>163</v>
      </c>
      <c r="D34" s="35" t="s">
        <v>24</v>
      </c>
      <c r="E34" s="34">
        <v>4</v>
      </c>
    </row>
    <row r="35" spans="1:30" x14ac:dyDescent="0.2">
      <c r="C35" s="2"/>
    </row>
    <row r="36" spans="1:30" x14ac:dyDescent="0.2">
      <c r="A36" s="35" t="s">
        <v>190</v>
      </c>
      <c r="B36" s="34">
        <v>1</v>
      </c>
      <c r="C36" s="2" t="s">
        <v>164</v>
      </c>
      <c r="D36" s="35" t="s">
        <v>24</v>
      </c>
      <c r="E36" s="34">
        <v>22</v>
      </c>
    </row>
    <row r="37" spans="1:30" x14ac:dyDescent="0.2">
      <c r="A37" s="35" t="s">
        <v>179</v>
      </c>
      <c r="B37" s="34">
        <v>2</v>
      </c>
      <c r="C37" s="2" t="s">
        <v>162</v>
      </c>
      <c r="D37" s="35" t="s">
        <v>24</v>
      </c>
      <c r="E37" s="34">
        <v>4</v>
      </c>
    </row>
    <row r="38" spans="1:30" x14ac:dyDescent="0.2">
      <c r="A38" s="35" t="s">
        <v>182</v>
      </c>
      <c r="B38" s="34">
        <v>1</v>
      </c>
      <c r="C38" s="34" t="s">
        <v>165</v>
      </c>
      <c r="D38" s="35" t="s">
        <v>24</v>
      </c>
      <c r="E38" s="34">
        <v>25</v>
      </c>
    </row>
    <row r="39" spans="1:30" x14ac:dyDescent="0.2">
      <c r="A39" s="35" t="s">
        <v>184</v>
      </c>
      <c r="B39" s="34">
        <v>2</v>
      </c>
      <c r="C39" s="2" t="s">
        <v>163</v>
      </c>
      <c r="D39" s="35" t="s">
        <v>24</v>
      </c>
      <c r="E39" s="34">
        <v>10</v>
      </c>
    </row>
    <row r="40" spans="1:30" x14ac:dyDescent="0.2">
      <c r="C40" s="2"/>
    </row>
    <row r="41" spans="1:30" x14ac:dyDescent="0.2">
      <c r="A41" s="35" t="s">
        <v>185</v>
      </c>
      <c r="B41" s="34">
        <v>1</v>
      </c>
      <c r="C41" s="2" t="s">
        <v>164</v>
      </c>
      <c r="D41" s="35" t="s">
        <v>24</v>
      </c>
      <c r="E41" s="34">
        <v>20</v>
      </c>
    </row>
    <row r="42" spans="1:30" x14ac:dyDescent="0.2">
      <c r="A42" s="35" t="s">
        <v>189</v>
      </c>
      <c r="B42" s="34">
        <v>1</v>
      </c>
      <c r="C42" s="2" t="s">
        <v>162</v>
      </c>
      <c r="D42" s="35" t="s">
        <v>24</v>
      </c>
      <c r="E42" s="34">
        <v>20</v>
      </c>
    </row>
    <row r="43" spans="1:30" x14ac:dyDescent="0.2">
      <c r="A43" s="35" t="s">
        <v>186</v>
      </c>
      <c r="B43" s="34">
        <v>1</v>
      </c>
      <c r="C43" s="34" t="s">
        <v>165</v>
      </c>
      <c r="D43" s="35" t="s">
        <v>24</v>
      </c>
      <c r="E43" s="34">
        <v>25</v>
      </c>
      <c r="AC43" s="34" t="str">
        <f>IF(OR(AC$14="",$E44=""),"",AB43)</f>
        <v/>
      </c>
      <c r="AD43" s="34" t="str">
        <f>IF(OR(AD$14="",$E44=""),"",AC43)</f>
        <v/>
      </c>
    </row>
    <row r="44" spans="1:30" x14ac:dyDescent="0.2">
      <c r="A44" s="35" t="s">
        <v>187</v>
      </c>
      <c r="B44" s="34">
        <v>2</v>
      </c>
      <c r="C44" s="2" t="s">
        <v>163</v>
      </c>
      <c r="D44" s="35" t="s">
        <v>24</v>
      </c>
      <c r="E44" s="34">
        <v>25</v>
      </c>
      <c r="AC44" s="34" t="str">
        <f>IF(OR(AC$14="",$E45=""),"",AB44)</f>
        <v/>
      </c>
      <c r="AD44" s="34" t="str">
        <f>IF(OR(AD$14="",$E45=""),"",AC44)</f>
        <v/>
      </c>
    </row>
    <row r="45" spans="1:30" x14ac:dyDescent="0.2">
      <c r="A45" s="32"/>
      <c r="C45" s="2"/>
      <c r="AC45" s="34" t="str">
        <f>IF(OR(AC$14="",$E46=""),"",AB45)</f>
        <v/>
      </c>
      <c r="AD45" s="34" t="str">
        <f>IF(OR(AD$14="",$E46=""),"",AC45)</f>
        <v/>
      </c>
    </row>
    <row r="46" spans="1:30" x14ac:dyDescent="0.2">
      <c r="A46" s="32"/>
      <c r="C46" s="2"/>
      <c r="AC46" s="34" t="str">
        <f>IF(OR(AC$14="",$E47=""),"",AB46)</f>
        <v/>
      </c>
      <c r="AD46" s="34" t="str">
        <f>IF(OR(AD$14="",$E47=""),"",AC46)</f>
        <v/>
      </c>
    </row>
    <row r="47" spans="1:30" x14ac:dyDescent="0.2">
      <c r="A47" s="32"/>
      <c r="C47" s="2"/>
      <c r="D47" s="85" t="s">
        <v>191</v>
      </c>
      <c r="E47" s="34">
        <f>SUM(E32:E46)</f>
        <v>181</v>
      </c>
      <c r="AC47" s="34" t="str">
        <f>IF(OR(AC$14="",$E48=""),"",AB47)</f>
        <v/>
      </c>
      <c r="AD47" s="34" t="str">
        <f>IF(OR(AD$14="",$E48=""),"",AC47)</f>
        <v/>
      </c>
    </row>
    <row r="48" spans="1:30" x14ac:dyDescent="0.2">
      <c r="A48" s="32"/>
      <c r="C48" s="2"/>
    </row>
    <row r="49" spans="1:30" x14ac:dyDescent="0.2">
      <c r="A49" s="32"/>
      <c r="C49" s="2"/>
      <c r="AC49" s="34" t="str">
        <f>IF(OR(AC$14="",$E50=""),"",AB49)</f>
        <v/>
      </c>
      <c r="AD49" s="34" t="str">
        <f>IF(OR(AD$14="",$E50=""),"",AC49)</f>
        <v/>
      </c>
    </row>
    <row r="50" spans="1:30" x14ac:dyDescent="0.2">
      <c r="A50" s="32"/>
      <c r="C50" s="2"/>
      <c r="AC50" s="34" t="str">
        <f>IF(OR(AC$14="",$E51=""),"",AB50)</f>
        <v/>
      </c>
      <c r="AD50" s="34" t="str">
        <f>IF(OR(AD$14="",$E51=""),"",AC50)</f>
        <v/>
      </c>
    </row>
    <row r="51" spans="1:30" x14ac:dyDescent="0.2">
      <c r="A51" s="32"/>
      <c r="C51" s="2"/>
      <c r="AC51" s="34" t="str">
        <f>IF(OR(AC$14="",$E52=""),"",AB51)</f>
        <v/>
      </c>
      <c r="AD51" s="34" t="str">
        <f>IF(OR(AD$14="",$E52=""),"",AC51)</f>
        <v/>
      </c>
    </row>
    <row r="52" spans="1:30" x14ac:dyDescent="0.2">
      <c r="A52" s="32"/>
      <c r="C52" s="2"/>
      <c r="AC52" s="34" t="str">
        <f>IF(OR(AC$14="",$E53=""),"",AB52)</f>
        <v/>
      </c>
      <c r="AD52" s="34" t="str">
        <f>IF(OR(AD$14="",$E53=""),"",AC52)</f>
        <v/>
      </c>
    </row>
    <row r="53" spans="1:30" x14ac:dyDescent="0.2">
      <c r="A53" s="32"/>
      <c r="C53" s="2"/>
      <c r="AC53" s="34" t="str">
        <f>IF(OR(AC$14="",$E54=""),"",AB53)</f>
        <v/>
      </c>
      <c r="AD53" s="34" t="str">
        <f>IF(OR(AD$14="",$E54=""),"",AC53)</f>
        <v/>
      </c>
    </row>
    <row r="54" spans="1:30" x14ac:dyDescent="0.2">
      <c r="A54" s="32"/>
      <c r="C54" s="2"/>
      <c r="AC54" s="34" t="str">
        <f>IF(OR(AC$14="",$E55=""),"",AB54)</f>
        <v/>
      </c>
      <c r="AD54" s="34" t="str">
        <f>IF(OR(AD$14="",$E55=""),"",AC54)</f>
        <v/>
      </c>
    </row>
    <row r="55" spans="1:30" x14ac:dyDescent="0.2">
      <c r="A55" s="32"/>
      <c r="C55" s="2"/>
      <c r="AC55" s="34" t="str">
        <f>IF(OR(AC$14="",$E56=""),"",AB55)</f>
        <v/>
      </c>
      <c r="AD55" s="34" t="str">
        <f>IF(OR(AD$14="",$E56=""),"",AC55)</f>
        <v/>
      </c>
    </row>
    <row r="56" spans="1:30" x14ac:dyDescent="0.2">
      <c r="A56" s="32"/>
      <c r="C56" s="2"/>
      <c r="AC56" s="34" t="str">
        <f>IF(OR(AC$14="",$E57=""),"",AB56)</f>
        <v/>
      </c>
      <c r="AD56" s="34" t="str">
        <f>IF(OR(AD$14="",$E57=""),"",AC56)</f>
        <v/>
      </c>
    </row>
    <row r="57" spans="1:30" x14ac:dyDescent="0.2">
      <c r="A57" s="32"/>
      <c r="C57" s="2"/>
      <c r="AC57" s="34" t="str">
        <f>IF(OR(AC$14="",$E58=""),"",AB57)</f>
        <v/>
      </c>
      <c r="AD57" s="34" t="str">
        <f>IF(OR(AD$14="",$E58=""),"",AC57)</f>
        <v/>
      </c>
    </row>
    <row r="58" spans="1:30" x14ac:dyDescent="0.2">
      <c r="A58" s="32"/>
      <c r="C58" s="2"/>
    </row>
    <row r="59" spans="1:30" x14ac:dyDescent="0.2">
      <c r="A59" s="32"/>
      <c r="C59" s="2"/>
      <c r="AC59" s="34" t="str">
        <f>IF(OR(AC$14="",$E60=""),"",AB59)</f>
        <v/>
      </c>
      <c r="AD59" s="34" t="str">
        <f>IF(OR(AD$14="",$E60=""),"",AC59)</f>
        <v/>
      </c>
    </row>
    <row r="60" spans="1:30" x14ac:dyDescent="0.2">
      <c r="A60" s="32"/>
      <c r="C60" s="2"/>
      <c r="AC60" s="34" t="str">
        <f>IF(OR(AC$14="",$E61=""),"",AB60)</f>
        <v/>
      </c>
      <c r="AD60" s="34" t="str">
        <f>IF(OR(AD$14="",$E61=""),"",AC60)</f>
        <v/>
      </c>
    </row>
    <row r="61" spans="1:30" x14ac:dyDescent="0.2">
      <c r="A61" s="32"/>
      <c r="C61" s="2"/>
      <c r="AC61" s="34" t="str">
        <f>IF(OR(AC$14="",$E62=""),"",AB61)</f>
        <v/>
      </c>
      <c r="AD61" s="34" t="str">
        <f>IF(OR(AD$14="",$E62=""),"",AC61)</f>
        <v/>
      </c>
    </row>
    <row r="62" spans="1:30" x14ac:dyDescent="0.2">
      <c r="A62" s="32"/>
      <c r="C62" s="2"/>
      <c r="AC62" s="34" t="str">
        <f>IF(OR(AC$14="",$E63=""),"",AB62)</f>
        <v/>
      </c>
      <c r="AD62" s="34" t="str">
        <f>IF(OR(AD$14="",$E63=""),"",AC62)</f>
        <v/>
      </c>
    </row>
    <row r="63" spans="1:30" x14ac:dyDescent="0.2">
      <c r="A63" s="32"/>
      <c r="C63" s="2"/>
      <c r="AC63" s="34" t="str">
        <f>IF(OR(AC$14="",$E64=""),"",AB63)</f>
        <v/>
      </c>
      <c r="AD63" s="34" t="str">
        <f>IF(OR(AD$14="",$E64=""),"",AC63)</f>
        <v/>
      </c>
    </row>
    <row r="64" spans="1:30" x14ac:dyDescent="0.2">
      <c r="A64" s="32"/>
      <c r="C64" s="2"/>
    </row>
    <row r="65" spans="3:4" x14ac:dyDescent="0.2">
      <c r="C65" s="2"/>
      <c r="D65" s="35" t="str">
        <f>IF(A65&lt;&gt;"","Planned","")</f>
        <v/>
      </c>
    </row>
    <row r="66" spans="3:4" x14ac:dyDescent="0.2">
      <c r="C66" s="2"/>
    </row>
    <row r="67" spans="3:4" x14ac:dyDescent="0.2">
      <c r="C67" s="2"/>
    </row>
    <row r="68" spans="3:4" x14ac:dyDescent="0.2">
      <c r="C68" s="2"/>
    </row>
    <row r="69" spans="3:4" x14ac:dyDescent="0.2">
      <c r="C69" s="2"/>
    </row>
    <row r="70" spans="3:4" x14ac:dyDescent="0.2">
      <c r="C70" s="2"/>
    </row>
    <row r="71" spans="3:4" x14ac:dyDescent="0.2">
      <c r="C71" s="2"/>
    </row>
    <row r="72" spans="3:4" x14ac:dyDescent="0.2">
      <c r="C72" s="2"/>
    </row>
    <row r="73" spans="3:4" x14ac:dyDescent="0.2">
      <c r="C73" s="2"/>
    </row>
    <row r="74" spans="3:4" x14ac:dyDescent="0.2">
      <c r="C74" s="2"/>
    </row>
    <row r="75" spans="3:4" x14ac:dyDescent="0.2">
      <c r="C75" s="2"/>
    </row>
    <row r="76" spans="3:4" x14ac:dyDescent="0.2">
      <c r="C76" s="2"/>
    </row>
    <row r="77" spans="3:4" x14ac:dyDescent="0.2">
      <c r="C77" s="2"/>
    </row>
    <row r="78" spans="3:4" x14ac:dyDescent="0.2">
      <c r="C78" s="2"/>
    </row>
    <row r="79" spans="3:4" x14ac:dyDescent="0.2">
      <c r="C79" s="2"/>
    </row>
    <row r="80" spans="3:4" x14ac:dyDescent="0.2">
      <c r="C80" s="2"/>
    </row>
    <row r="81" spans="3:3" x14ac:dyDescent="0.2">
      <c r="C81" s="2"/>
    </row>
    <row r="82" spans="3:3" x14ac:dyDescent="0.2">
      <c r="C82" s="2"/>
    </row>
    <row r="83" spans="3:3" x14ac:dyDescent="0.2">
      <c r="C83" s="2"/>
    </row>
    <row r="84" spans="3:3" x14ac:dyDescent="0.2">
      <c r="C84" s="2"/>
    </row>
    <row r="85" spans="3:3" x14ac:dyDescent="0.2">
      <c r="C85" s="2"/>
    </row>
    <row r="86" spans="3:3" x14ac:dyDescent="0.2">
      <c r="C86" s="2"/>
    </row>
    <row r="87" spans="3:3" x14ac:dyDescent="0.2">
      <c r="C87" s="2"/>
    </row>
    <row r="88" spans="3:3" x14ac:dyDescent="0.2">
      <c r="C88" s="2"/>
    </row>
  </sheetData>
  <phoneticPr fontId="2" type="noConversion"/>
  <conditionalFormatting sqref="B15:AD16 A17:AD22 A23:J34 E41:J44 B40:J40 A41:C41 A42:B42 A43:C44 A45:J59">
    <cfRule type="expression" dxfId="1" priority="61" stopIfTrue="1">
      <formula>$D15="Done"</formula>
    </cfRule>
    <cfRule type="expression" dxfId="0" priority="62" stopIfTrue="1">
      <formula>$D15="Ongoing"</formula>
    </cfRule>
  </conditionalFormatting>
  <conditionalFormatting sqref="A15:A16">
    <cfRule type="expression" dxfId="83" priority="59" stopIfTrue="1">
      <formula>$D15="Done"</formula>
    </cfRule>
    <cfRule type="expression" dxfId="82" priority="60" stopIfTrue="1">
      <formula>$D15="Ongoing"</formula>
    </cfRule>
  </conditionalFormatting>
  <conditionalFormatting sqref="C15:C17">
    <cfRule type="expression" dxfId="81" priority="57" stopIfTrue="1">
      <formula>$D15="Done"</formula>
    </cfRule>
    <cfRule type="expression" dxfId="80" priority="58" stopIfTrue="1">
      <formula>$D15="Ongoing"</formula>
    </cfRule>
  </conditionalFormatting>
  <conditionalFormatting sqref="K23:AD29 K43:AD58">
    <cfRule type="expression" dxfId="79" priority="240" stopIfTrue="1">
      <formula>$D24="Done"</formula>
    </cfRule>
    <cfRule type="expression" dxfId="78" priority="241" stopIfTrue="1">
      <formula>$D24="Ongoing"</formula>
    </cfRule>
  </conditionalFormatting>
  <conditionalFormatting sqref="B35:H35 A36:B36 E36:J36">
    <cfRule type="expression" dxfId="77" priority="53" stopIfTrue="1">
      <formula>$D35="Done"</formula>
    </cfRule>
    <cfRule type="expression" dxfId="76" priority="54" stopIfTrue="1">
      <formula>$D35="Ongoing"</formula>
    </cfRule>
  </conditionalFormatting>
  <conditionalFormatting sqref="K36:AD36">
    <cfRule type="expression" dxfId="75" priority="55" stopIfTrue="1">
      <formula>$D36="Done"</formula>
    </cfRule>
    <cfRule type="expression" dxfId="74" priority="56" stopIfTrue="1">
      <formula>$D36="Ongoing"</formula>
    </cfRule>
  </conditionalFormatting>
  <conditionalFormatting sqref="K35:AD35">
    <cfRule type="expression" dxfId="73" priority="248" stopIfTrue="1">
      <formula>$D34="Done"</formula>
    </cfRule>
    <cfRule type="expression" dxfId="72" priority="249" stopIfTrue="1">
      <formula>$D34="Ongoing"</formula>
    </cfRule>
  </conditionalFormatting>
  <conditionalFormatting sqref="B37 E37:J37">
    <cfRule type="expression" dxfId="71" priority="49" stopIfTrue="1">
      <formula>$D37="Done"</formula>
    </cfRule>
    <cfRule type="expression" dxfId="70" priority="50" stopIfTrue="1">
      <formula>$D37="Ongoing"</formula>
    </cfRule>
  </conditionalFormatting>
  <conditionalFormatting sqref="K37:AD37">
    <cfRule type="expression" dxfId="69" priority="51" stopIfTrue="1">
      <formula>$D37="Done"</formula>
    </cfRule>
    <cfRule type="expression" dxfId="68" priority="52" stopIfTrue="1">
      <formula>$D37="Ongoing"</formula>
    </cfRule>
  </conditionalFormatting>
  <conditionalFormatting sqref="B38 E38:J38">
    <cfRule type="expression" dxfId="67" priority="45" stopIfTrue="1">
      <formula>$D38="Done"</formula>
    </cfRule>
    <cfRule type="expression" dxfId="66" priority="46" stopIfTrue="1">
      <formula>$D38="Ongoing"</formula>
    </cfRule>
  </conditionalFormatting>
  <conditionalFormatting sqref="K38:AD38">
    <cfRule type="expression" dxfId="65" priority="47" stopIfTrue="1">
      <formula>$D38="Done"</formula>
    </cfRule>
    <cfRule type="expression" dxfId="64" priority="48" stopIfTrue="1">
      <formula>$D38="Ongoing"</formula>
    </cfRule>
  </conditionalFormatting>
  <conditionalFormatting sqref="B39 E39:J39">
    <cfRule type="expression" dxfId="63" priority="41" stopIfTrue="1">
      <formula>$D39="Done"</formula>
    </cfRule>
    <cfRule type="expression" dxfId="62" priority="42" stopIfTrue="1">
      <formula>$D39="Ongoing"</formula>
    </cfRule>
  </conditionalFormatting>
  <conditionalFormatting sqref="K39:AD40">
    <cfRule type="expression" dxfId="61" priority="43" stopIfTrue="1">
      <formula>$D39="Done"</formula>
    </cfRule>
    <cfRule type="expression" dxfId="60" priority="44" stopIfTrue="1">
      <formula>$D39="Ongoing"</formula>
    </cfRule>
  </conditionalFormatting>
  <conditionalFormatting sqref="D38">
    <cfRule type="expression" dxfId="59" priority="33" stopIfTrue="1">
      <formula>$D38="Done"</formula>
    </cfRule>
    <cfRule type="expression" dxfId="58" priority="34" stopIfTrue="1">
      <formula>$D38="Ongoing"</formula>
    </cfRule>
  </conditionalFormatting>
  <conditionalFormatting sqref="A38">
    <cfRule type="expression" dxfId="57" priority="39" stopIfTrue="1">
      <formula>$D38="Done"</formula>
    </cfRule>
    <cfRule type="expression" dxfId="56" priority="40" stopIfTrue="1">
      <formula>$D38="Ongoing"</formula>
    </cfRule>
  </conditionalFormatting>
  <conditionalFormatting sqref="D36">
    <cfRule type="expression" dxfId="55" priority="37" stopIfTrue="1">
      <formula>$D36="Done"</formula>
    </cfRule>
    <cfRule type="expression" dxfId="54" priority="38" stopIfTrue="1">
      <formula>$D36="Ongoing"</formula>
    </cfRule>
  </conditionalFormatting>
  <conditionalFormatting sqref="D37">
    <cfRule type="expression" dxfId="53" priority="35" stopIfTrue="1">
      <formula>$D37="Done"</formula>
    </cfRule>
    <cfRule type="expression" dxfId="52" priority="36" stopIfTrue="1">
      <formula>$D37="Ongoing"</formula>
    </cfRule>
  </conditionalFormatting>
  <conditionalFormatting sqref="I35">
    <cfRule type="expression" dxfId="51" priority="23" stopIfTrue="1">
      <formula>$D35="Done"</formula>
    </cfRule>
    <cfRule type="expression" dxfId="50" priority="24" stopIfTrue="1">
      <formula>$D35="Ongoing"</formula>
    </cfRule>
  </conditionalFormatting>
  <conditionalFormatting sqref="J35">
    <cfRule type="expression" dxfId="49" priority="25" stopIfTrue="1">
      <formula>$D35="Done"</formula>
    </cfRule>
    <cfRule type="expression" dxfId="48" priority="26" stopIfTrue="1">
      <formula>$D35="Ongoing"</formula>
    </cfRule>
  </conditionalFormatting>
  <conditionalFormatting sqref="A37">
    <cfRule type="expression" dxfId="47" priority="29" stopIfTrue="1">
      <formula>$D37="Done"</formula>
    </cfRule>
    <cfRule type="expression" dxfId="46" priority="30" stopIfTrue="1">
      <formula>$D37="Ongoing"</formula>
    </cfRule>
  </conditionalFormatting>
  <conditionalFormatting sqref="A39">
    <cfRule type="expression" dxfId="45" priority="21" stopIfTrue="1">
      <formula>$D39="Done"</formula>
    </cfRule>
    <cfRule type="expression" dxfId="44" priority="22" stopIfTrue="1">
      <formula>$D39="Ongoing"</formula>
    </cfRule>
  </conditionalFormatting>
  <conditionalFormatting sqref="D39">
    <cfRule type="expression" dxfId="43" priority="19" stopIfTrue="1">
      <formula>$D39="Done"</formula>
    </cfRule>
    <cfRule type="expression" dxfId="42" priority="20" stopIfTrue="1">
      <formula>$D39="Ongoing"</formula>
    </cfRule>
  </conditionalFormatting>
  <conditionalFormatting sqref="K34:AD34">
    <cfRule type="expression" dxfId="41" priority="252" stopIfTrue="1">
      <formula>$D33="Done"</formula>
    </cfRule>
    <cfRule type="expression" dxfId="40" priority="253" stopIfTrue="1">
      <formula>$D33="Ongoing"</formula>
    </cfRule>
  </conditionalFormatting>
  <conditionalFormatting sqref="K33:AD33">
    <cfRule type="expression" dxfId="39" priority="258" stopIfTrue="1">
      <formula>#REF!="Done"</formula>
    </cfRule>
    <cfRule type="expression" dxfId="38" priority="259" stopIfTrue="1">
      <formula>#REF!="Ongoing"</formula>
    </cfRule>
  </conditionalFormatting>
  <conditionalFormatting sqref="K30:AD31 K41:AD42">
    <cfRule type="expression" dxfId="37" priority="262" stopIfTrue="1">
      <formula>$D32="Done"</formula>
    </cfRule>
    <cfRule type="expression" dxfId="36" priority="263" stopIfTrue="1">
      <formula>$D32="Ongoing"</formula>
    </cfRule>
  </conditionalFormatting>
  <conditionalFormatting sqref="D41:D42">
    <cfRule type="expression" dxfId="35" priority="17" stopIfTrue="1">
      <formula>$D41="Done"</formula>
    </cfRule>
    <cfRule type="expression" dxfId="34" priority="18" stopIfTrue="1">
      <formula>$D41="Ongoing"</formula>
    </cfRule>
  </conditionalFormatting>
  <conditionalFormatting sqref="D43">
    <cfRule type="expression" dxfId="33" priority="15" stopIfTrue="1">
      <formula>$D43="Done"</formula>
    </cfRule>
    <cfRule type="expression" dxfId="32" priority="16" stopIfTrue="1">
      <formula>$D43="Ongoing"</formula>
    </cfRule>
  </conditionalFormatting>
  <conditionalFormatting sqref="D44">
    <cfRule type="expression" dxfId="31" priority="13" stopIfTrue="1">
      <formula>$D44="Done"</formula>
    </cfRule>
    <cfRule type="expression" dxfId="30" priority="14" stopIfTrue="1">
      <formula>$D44="Ongoing"</formula>
    </cfRule>
  </conditionalFormatting>
  <conditionalFormatting sqref="A35">
    <cfRule type="expression" dxfId="29" priority="266" stopIfTrue="1">
      <formula>$D40="Done"</formula>
    </cfRule>
    <cfRule type="expression" dxfId="28" priority="267" stopIfTrue="1">
      <formula>$D40="Ongoing"</formula>
    </cfRule>
  </conditionalFormatting>
  <conditionalFormatting sqref="A40">
    <cfRule type="expression" dxfId="27" priority="11" stopIfTrue="1">
      <formula>$D46="Done"</formula>
    </cfRule>
    <cfRule type="expression" dxfId="26" priority="12" stopIfTrue="1">
      <formula>$D46="Ongoing"</formula>
    </cfRule>
  </conditionalFormatting>
  <conditionalFormatting sqref="C36">
    <cfRule type="expression" dxfId="25" priority="9" stopIfTrue="1">
      <formula>$D36="Done"</formula>
    </cfRule>
    <cfRule type="expression" dxfId="24" priority="10" stopIfTrue="1">
      <formula>$D36="Ongoing"</formula>
    </cfRule>
  </conditionalFormatting>
  <conditionalFormatting sqref="C37">
    <cfRule type="expression" dxfId="23" priority="7" stopIfTrue="1">
      <formula>$D37="Done"</formula>
    </cfRule>
    <cfRule type="expression" dxfId="22" priority="8" stopIfTrue="1">
      <formula>$D37="Ongoing"</formula>
    </cfRule>
  </conditionalFormatting>
  <conditionalFormatting sqref="C38">
    <cfRule type="expression" dxfId="21" priority="5" stopIfTrue="1">
      <formula>$D38="Done"</formula>
    </cfRule>
    <cfRule type="expression" dxfId="20" priority="6" stopIfTrue="1">
      <formula>$D38="Ongoing"</formula>
    </cfRule>
  </conditionalFormatting>
  <conditionalFormatting sqref="C42">
    <cfRule type="expression" dxfId="5" priority="3" stopIfTrue="1">
      <formula>$D42="Done"</formula>
    </cfRule>
    <cfRule type="expression" dxfId="4" priority="4" stopIfTrue="1">
      <formula>$D42="Ongoing"</formula>
    </cfRule>
  </conditionalFormatting>
  <conditionalFormatting sqref="C39">
    <cfRule type="expression" dxfId="3" priority="1" stopIfTrue="1">
      <formula>$D39="Done"</formula>
    </cfRule>
    <cfRule type="expression" dxfId="2" priority="2" stopIfTrue="1">
      <formula>$D39="Ongoing"</formula>
    </cfRule>
  </conditionalFormatting>
  <dataValidations count="1">
    <dataValidation type="list" allowBlank="1" showInputMessage="1" sqref="D3:D8 D15:D6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90"/>
  <sheetViews>
    <sheetView zoomScale="140" zoomScaleNormal="140" workbookViewId="0">
      <pane ySplit="14" topLeftCell="A15" activePane="bottomLeft" state="frozen"/>
      <selection pane="bottomLeft" activeCell="A18" sqref="A18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78</v>
      </c>
      <c r="B9" s="36">
        <v>10</v>
      </c>
      <c r="C9" s="18"/>
      <c r="D9" s="16"/>
      <c r="E9" s="20" t="s">
        <v>79</v>
      </c>
      <c r="F9" s="20" t="s">
        <v>80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81</v>
      </c>
      <c r="B10" s="36">
        <v>5</v>
      </c>
      <c r="C10" s="18" t="s">
        <v>3</v>
      </c>
      <c r="D10" s="18" t="s">
        <v>82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83</v>
      </c>
      <c r="B11" s="2">
        <f>IF(COUNTA(A15:A268)=0,1,COUNTA(A15:A268))</f>
        <v>1</v>
      </c>
      <c r="C11" t="s">
        <v>84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>
        <f t="shared" ca="1" si="1"/>
        <v>0</v>
      </c>
      <c r="M11" s="2">
        <f t="shared" ca="1" si="1"/>
        <v>0</v>
      </c>
      <c r="N11" s="2">
        <f t="shared" ca="1" si="1"/>
        <v>0</v>
      </c>
      <c r="O11" s="2">
        <f t="shared" ca="1" si="1"/>
        <v>0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85</v>
      </c>
      <c r="B12"/>
      <c r="C12" t="s">
        <v>48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86</v>
      </c>
      <c r="B13"/>
      <c r="C13" t="s">
        <v>87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88</v>
      </c>
      <c r="B14" s="19" t="s">
        <v>18</v>
      </c>
      <c r="C14" s="18" t="s">
        <v>89</v>
      </c>
      <c r="D14" s="18" t="s">
        <v>6</v>
      </c>
      <c r="E14" s="19" t="s">
        <v>90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/>
      <c r="B15" s="34"/>
      <c r="D15" s="35"/>
      <c r="E15" s="34"/>
      <c r="F15" s="34"/>
      <c r="G15" s="34"/>
      <c r="H15" s="34"/>
      <c r="I15" s="34"/>
      <c r="J15" s="34"/>
    </row>
    <row r="16" spans="1:30" x14ac:dyDescent="0.2">
      <c r="A16" s="35"/>
      <c r="B16" s="34"/>
      <c r="D16" s="35"/>
      <c r="E16" s="34"/>
      <c r="F16" s="34"/>
      <c r="G16" s="34"/>
      <c r="H16" s="34"/>
      <c r="I16" s="34"/>
      <c r="J16" s="34"/>
    </row>
    <row r="17" spans="1:10" x14ac:dyDescent="0.2">
      <c r="A17" s="35" t="s">
        <v>188</v>
      </c>
      <c r="B17" s="34"/>
      <c r="D17" s="35"/>
      <c r="E17" s="34"/>
      <c r="F17" s="34"/>
      <c r="G17" s="34"/>
      <c r="H17" s="34"/>
      <c r="I17" s="34"/>
      <c r="J17" s="34"/>
    </row>
    <row r="18" spans="1:10" x14ac:dyDescent="0.2">
      <c r="A18" s="35"/>
      <c r="B18" s="34"/>
      <c r="D18" s="35"/>
      <c r="E18" s="34"/>
      <c r="F18" s="34"/>
      <c r="G18" s="34"/>
      <c r="H18" s="34"/>
      <c r="I18" s="34"/>
      <c r="J18" s="34"/>
    </row>
    <row r="19" spans="1:10" x14ac:dyDescent="0.2">
      <c r="A19" s="35"/>
      <c r="B19" s="34"/>
      <c r="D19" s="35"/>
      <c r="E19" s="34"/>
      <c r="F19" s="34"/>
      <c r="G19" s="34"/>
      <c r="H19" s="34"/>
      <c r="I19" s="34"/>
      <c r="J19" s="34"/>
    </row>
    <row r="20" spans="1:10" x14ac:dyDescent="0.2">
      <c r="A20" s="35"/>
      <c r="B20" s="34"/>
      <c r="D20" s="35"/>
      <c r="E20" s="34"/>
      <c r="F20" s="34"/>
      <c r="G20" s="34"/>
      <c r="H20" s="34"/>
      <c r="I20" s="34"/>
      <c r="J20" s="34"/>
    </row>
    <row r="21" spans="1:10" x14ac:dyDescent="0.2">
      <c r="A21" s="35"/>
      <c r="B21" s="34"/>
      <c r="D21" s="35"/>
      <c r="E21" s="34"/>
      <c r="F21" s="34"/>
      <c r="G21" s="34"/>
      <c r="H21" s="34"/>
      <c r="I21" s="34"/>
      <c r="J21" s="34"/>
    </row>
    <row r="22" spans="1:10" x14ac:dyDescent="0.2">
      <c r="A22" s="35"/>
      <c r="B22" s="34"/>
      <c r="D22" s="35"/>
      <c r="E22" s="34"/>
      <c r="F22" s="34"/>
      <c r="G22" s="34"/>
      <c r="H22" s="34"/>
      <c r="I22" s="34"/>
      <c r="J22" s="34"/>
    </row>
    <row r="23" spans="1:10" x14ac:dyDescent="0.2">
      <c r="A23" s="35"/>
      <c r="B23" s="34"/>
      <c r="D23" s="35"/>
      <c r="E23" s="34"/>
      <c r="F23" s="34"/>
      <c r="G23" s="34"/>
      <c r="H23" s="34"/>
      <c r="I23" s="34"/>
      <c r="J23" s="34"/>
    </row>
    <row r="24" spans="1:10" x14ac:dyDescent="0.2">
      <c r="A24" s="35"/>
      <c r="B24" s="34"/>
      <c r="D24" s="35"/>
      <c r="E24" s="34"/>
      <c r="F24" s="34"/>
      <c r="G24" s="34"/>
      <c r="H24" s="34"/>
      <c r="I24" s="34"/>
      <c r="J24" s="34"/>
    </row>
    <row r="25" spans="1:10" x14ac:dyDescent="0.2">
      <c r="A25" s="35"/>
      <c r="B25" s="34"/>
      <c r="D25" s="35"/>
      <c r="E25" s="34"/>
      <c r="F25" s="34"/>
      <c r="G25" s="34"/>
      <c r="H25" s="34"/>
      <c r="I25" s="34"/>
      <c r="J25" s="34"/>
    </row>
    <row r="26" spans="1:10" x14ac:dyDescent="0.2">
      <c r="A26" s="35"/>
      <c r="B26" s="34"/>
      <c r="D26" s="35"/>
      <c r="E26" s="34"/>
      <c r="F26" s="34"/>
      <c r="G26" s="34"/>
      <c r="H26" s="34"/>
      <c r="I26" s="34"/>
      <c r="J26" s="34"/>
    </row>
    <row r="27" spans="1:10" x14ac:dyDescent="0.2">
      <c r="A27" s="35"/>
      <c r="B27" s="34"/>
      <c r="D27" s="35"/>
      <c r="E27" s="34"/>
      <c r="F27" s="34"/>
      <c r="G27" s="34"/>
      <c r="H27" s="34"/>
      <c r="I27" s="34"/>
      <c r="J27" s="34"/>
    </row>
    <row r="28" spans="1:10" x14ac:dyDescent="0.2">
      <c r="A28" s="35"/>
      <c r="B28" s="34"/>
      <c r="D28" s="35"/>
      <c r="E28" s="34"/>
      <c r="F28" s="34"/>
      <c r="G28" s="34"/>
      <c r="H28" s="34"/>
      <c r="I28" s="34"/>
      <c r="J28" s="34"/>
    </row>
    <row r="29" spans="1:10" x14ac:dyDescent="0.2">
      <c r="A29" s="35"/>
      <c r="B29" s="34"/>
      <c r="D29" s="35"/>
      <c r="E29" s="34"/>
      <c r="F29" s="34"/>
      <c r="G29" s="34"/>
      <c r="H29" s="34"/>
      <c r="I29" s="34"/>
      <c r="J29" s="34"/>
    </row>
    <row r="30" spans="1:10" x14ac:dyDescent="0.2">
      <c r="A30" s="35"/>
      <c r="B30" s="34"/>
      <c r="D30" s="35"/>
      <c r="E30" s="34"/>
      <c r="F30" s="34"/>
      <c r="G30" s="34"/>
      <c r="H30" s="34"/>
      <c r="I30" s="34"/>
      <c r="J30" s="34"/>
    </row>
    <row r="31" spans="1:10" x14ac:dyDescent="0.2">
      <c r="A31" s="35"/>
      <c r="B31" s="34"/>
      <c r="D31" s="35"/>
      <c r="E31" s="34"/>
      <c r="F31" s="34"/>
      <c r="G31" s="34"/>
      <c r="H31" s="34"/>
      <c r="I31" s="34"/>
      <c r="J31" s="34"/>
    </row>
    <row r="32" spans="1:10" x14ac:dyDescent="0.2">
      <c r="A32" s="35"/>
      <c r="B32" s="34"/>
      <c r="D32" s="35"/>
      <c r="E32" s="34"/>
      <c r="F32" s="34"/>
      <c r="G32" s="34"/>
      <c r="H32" s="34"/>
      <c r="I32" s="34"/>
      <c r="J32" s="34"/>
    </row>
    <row r="33" spans="1:10" x14ac:dyDescent="0.2">
      <c r="A33" s="35"/>
      <c r="B33" s="34"/>
      <c r="D33" s="35"/>
      <c r="E33" s="34"/>
      <c r="F33" s="34"/>
      <c r="G33" s="34"/>
      <c r="H33" s="34"/>
      <c r="I33" s="34"/>
      <c r="J33" s="34"/>
    </row>
    <row r="34" spans="1:1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10" x14ac:dyDescent="0.2">
      <c r="A35" s="35"/>
      <c r="B35" s="34"/>
      <c r="D35" s="35"/>
      <c r="E35" s="34"/>
      <c r="F35" s="34"/>
      <c r="G35" s="34"/>
      <c r="H35" s="34"/>
      <c r="I35" s="34"/>
      <c r="J35" s="34"/>
    </row>
    <row r="36" spans="1:10" x14ac:dyDescent="0.2">
      <c r="A36" s="35"/>
      <c r="B36" s="34"/>
      <c r="D36" s="35"/>
      <c r="E36" s="34"/>
      <c r="F36" s="34"/>
      <c r="G36" s="34"/>
      <c r="H36" s="34"/>
      <c r="I36" s="34"/>
      <c r="J36" s="34"/>
    </row>
    <row r="37" spans="1:10" x14ac:dyDescent="0.2">
      <c r="A37" s="35"/>
      <c r="B37" s="34"/>
      <c r="D37" s="35"/>
      <c r="E37" s="34"/>
      <c r="F37" s="34"/>
      <c r="G37" s="34"/>
      <c r="H37" s="34"/>
      <c r="I37" s="34"/>
      <c r="J37" s="34"/>
    </row>
    <row r="38" spans="1:10" x14ac:dyDescent="0.2">
      <c r="A38" s="35"/>
      <c r="B38" s="34"/>
      <c r="D38" s="35"/>
      <c r="E38" s="34"/>
      <c r="F38" s="34"/>
      <c r="G38" s="34"/>
      <c r="H38" s="34"/>
      <c r="I38" s="34"/>
      <c r="J38" s="34"/>
    </row>
    <row r="39" spans="1:10" x14ac:dyDescent="0.2">
      <c r="A39" s="35"/>
      <c r="B39" s="34"/>
      <c r="D39" s="35"/>
      <c r="E39" s="34"/>
      <c r="F39" s="34"/>
      <c r="G39" s="34"/>
      <c r="H39" s="34"/>
      <c r="I39" s="34"/>
      <c r="J39" s="34"/>
    </row>
    <row r="40" spans="1:10" x14ac:dyDescent="0.2">
      <c r="A40" s="35"/>
      <c r="B40" s="34"/>
      <c r="D40" s="35"/>
      <c r="E40" s="34"/>
      <c r="F40" s="34"/>
      <c r="G40" s="34"/>
      <c r="H40" s="34"/>
      <c r="I40" s="34"/>
      <c r="J40" s="34"/>
    </row>
    <row r="41" spans="1:10" x14ac:dyDescent="0.2">
      <c r="A41" s="35"/>
      <c r="D41" s="35"/>
      <c r="J41" s="34"/>
    </row>
    <row r="42" spans="1:10" x14ac:dyDescent="0.2">
      <c r="A42" s="35"/>
    </row>
    <row r="43" spans="1:10" x14ac:dyDescent="0.2">
      <c r="A43" s="35"/>
    </row>
    <row r="44" spans="1:10" x14ac:dyDescent="0.2">
      <c r="A44" s="35"/>
    </row>
    <row r="45" spans="1:10" x14ac:dyDescent="0.2">
      <c r="A45" s="35"/>
    </row>
    <row r="46" spans="1:10" x14ac:dyDescent="0.2">
      <c r="A46" s="35"/>
    </row>
    <row r="47" spans="1:10" x14ac:dyDescent="0.2">
      <c r="A47" s="35"/>
    </row>
    <row r="48" spans="1:10" x14ac:dyDescent="0.2">
      <c r="A48" s="35"/>
    </row>
    <row r="49" spans="1:2" x14ac:dyDescent="0.2">
      <c r="A49" s="35"/>
      <c r="B49" s="81"/>
    </row>
    <row r="50" spans="1:2" x14ac:dyDescent="0.2">
      <c r="A50" s="35"/>
    </row>
    <row r="51" spans="1:2" x14ac:dyDescent="0.2">
      <c r="A51" s="35"/>
    </row>
    <row r="52" spans="1:2" x14ac:dyDescent="0.2">
      <c r="A52" s="35"/>
    </row>
    <row r="68" spans="1:30" x14ac:dyDescent="0.2">
      <c r="D68" s="35"/>
      <c r="E68" s="34"/>
    </row>
    <row r="69" spans="1:30" x14ac:dyDescent="0.2">
      <c r="A69" s="35"/>
      <c r="B69" s="34"/>
      <c r="D69" s="35"/>
      <c r="E69" s="34"/>
    </row>
    <row r="70" spans="1:30" x14ac:dyDescent="0.2">
      <c r="A70" s="35"/>
      <c r="B70" s="34"/>
      <c r="D70" s="35"/>
      <c r="E70" s="34"/>
      <c r="AC70" s="2" t="str">
        <f t="shared" ref="AC70:AD85" si="4">IF(OR(AC$14="",$E70=""),"",AB70)</f>
        <v/>
      </c>
      <c r="AD70" s="2" t="str">
        <f t="shared" si="4"/>
        <v/>
      </c>
    </row>
    <row r="71" spans="1:30" x14ac:dyDescent="0.2">
      <c r="A71" s="35"/>
      <c r="B71" s="34"/>
      <c r="D71" s="35"/>
      <c r="E71" s="34"/>
      <c r="AC71" s="2" t="str">
        <f t="shared" si="4"/>
        <v/>
      </c>
      <c r="AD71" s="2" t="str">
        <f t="shared" si="4"/>
        <v/>
      </c>
    </row>
    <row r="72" spans="1:30" x14ac:dyDescent="0.2">
      <c r="A72" s="35"/>
      <c r="B72" s="34"/>
      <c r="D72" s="35"/>
      <c r="E72" s="34"/>
      <c r="AC72" s="2" t="str">
        <f t="shared" si="4"/>
        <v/>
      </c>
      <c r="AD72" s="2" t="str">
        <f t="shared" si="4"/>
        <v/>
      </c>
    </row>
    <row r="73" spans="1:30" x14ac:dyDescent="0.2">
      <c r="AC73" s="2" t="str">
        <f t="shared" si="4"/>
        <v/>
      </c>
      <c r="AD73" s="2" t="str">
        <f t="shared" si="4"/>
        <v/>
      </c>
    </row>
    <row r="74" spans="1:30" x14ac:dyDescent="0.2">
      <c r="AC74" s="2" t="str">
        <f t="shared" si="4"/>
        <v/>
      </c>
      <c r="AD74" s="2" t="str">
        <f t="shared" si="4"/>
        <v/>
      </c>
    </row>
    <row r="75" spans="1:30" x14ac:dyDescent="0.2">
      <c r="AC75" s="2" t="str">
        <f t="shared" si="4"/>
        <v/>
      </c>
      <c r="AD75" s="2" t="str">
        <f t="shared" si="4"/>
        <v/>
      </c>
    </row>
    <row r="76" spans="1:30" x14ac:dyDescent="0.2">
      <c r="AC76" s="2" t="str">
        <f t="shared" si="4"/>
        <v/>
      </c>
      <c r="AD76" s="2" t="str">
        <f t="shared" si="4"/>
        <v/>
      </c>
    </row>
    <row r="77" spans="1:30" x14ac:dyDescent="0.2">
      <c r="AC77" s="2" t="str">
        <f t="shared" si="4"/>
        <v/>
      </c>
      <c r="AD77" s="2" t="str">
        <f t="shared" si="4"/>
        <v/>
      </c>
    </row>
    <row r="78" spans="1:30" x14ac:dyDescent="0.2">
      <c r="AC78" s="2" t="str">
        <f t="shared" si="4"/>
        <v/>
      </c>
      <c r="AD78" s="2" t="str">
        <f t="shared" si="4"/>
        <v/>
      </c>
    </row>
    <row r="79" spans="1:30" x14ac:dyDescent="0.2">
      <c r="AC79" s="2" t="str">
        <f t="shared" si="4"/>
        <v/>
      </c>
      <c r="AD79" s="2" t="str">
        <f t="shared" si="4"/>
        <v/>
      </c>
    </row>
    <row r="80" spans="1:30" x14ac:dyDescent="0.2">
      <c r="AC80" s="2" t="str">
        <f t="shared" si="4"/>
        <v/>
      </c>
      <c r="AD80" s="2" t="str">
        <f t="shared" si="4"/>
        <v/>
      </c>
    </row>
    <row r="81" spans="4:30" x14ac:dyDescent="0.2">
      <c r="AC81" s="2" t="str">
        <f t="shared" si="4"/>
        <v/>
      </c>
      <c r="AD81" s="2" t="str">
        <f t="shared" si="4"/>
        <v/>
      </c>
    </row>
    <row r="82" spans="4:30" x14ac:dyDescent="0.2">
      <c r="AC82" s="2" t="str">
        <f t="shared" si="4"/>
        <v/>
      </c>
      <c r="AD82" s="2" t="str">
        <f t="shared" si="4"/>
        <v/>
      </c>
    </row>
    <row r="83" spans="4:30" x14ac:dyDescent="0.2">
      <c r="AC83" s="2" t="str">
        <f t="shared" si="4"/>
        <v/>
      </c>
      <c r="AD83" s="2" t="str">
        <f t="shared" si="4"/>
        <v/>
      </c>
    </row>
    <row r="84" spans="4:30" x14ac:dyDescent="0.2">
      <c r="AC84" s="2" t="str">
        <f t="shared" si="4"/>
        <v/>
      </c>
      <c r="AD84" s="2" t="str">
        <f t="shared" si="4"/>
        <v/>
      </c>
    </row>
    <row r="85" spans="4:30" x14ac:dyDescent="0.2">
      <c r="AC85" s="2" t="str">
        <f t="shared" si="4"/>
        <v/>
      </c>
      <c r="AD85" s="2" t="str">
        <f t="shared" si="4"/>
        <v/>
      </c>
    </row>
    <row r="90" spans="4:30" x14ac:dyDescent="0.2">
      <c r="D90" t="str">
        <f>IF(A90&lt;&gt;"","Planned","")</f>
        <v/>
      </c>
    </row>
  </sheetData>
  <conditionalFormatting sqref="B33:C35 A34:A35 A15:AD26 A27:C32 D27:AD35 A36:AD84">
    <cfRule type="expression" dxfId="19" priority="9" stopIfTrue="1">
      <formula>$D15="Done"</formula>
    </cfRule>
    <cfRule type="expression" dxfId="18" priority="10" stopIfTrue="1">
      <formula>$D15="Ongoing"</formula>
    </cfRule>
  </conditionalFormatting>
  <conditionalFormatting sqref="A33">
    <cfRule type="expression" dxfId="17" priority="122" stopIfTrue="1">
      <formula>$D34="Done"</formula>
    </cfRule>
    <cfRule type="expression" dxfId="16" priority="123" stopIfTrue="1">
      <formula>$D34="Ongoing"</formula>
    </cfRule>
  </conditionalFormatting>
  <dataValidations count="1">
    <dataValidation type="list" allowBlank="1" showInputMessage="1" sqref="D3:D8 D15:D90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78</v>
      </c>
      <c r="B9" s="36">
        <v>5</v>
      </c>
      <c r="C9" s="18"/>
      <c r="D9" s="16"/>
      <c r="E9" s="20" t="s">
        <v>79</v>
      </c>
      <c r="F9" s="20" t="s">
        <v>80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81</v>
      </c>
      <c r="B10" s="36">
        <v>6</v>
      </c>
      <c r="C10" s="18" t="s">
        <v>3</v>
      </c>
      <c r="D10" s="18" t="s">
        <v>82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83</v>
      </c>
      <c r="B11" s="2">
        <f>IF(COUNTA(A15:A242)=0,1,COUNTA(A15:A242))</f>
        <v>1</v>
      </c>
      <c r="C11" t="s">
        <v>84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85</v>
      </c>
      <c r="B12"/>
      <c r="C12" t="s">
        <v>48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86</v>
      </c>
      <c r="B13"/>
      <c r="C13" t="s">
        <v>87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88</v>
      </c>
      <c r="B14" s="19" t="s">
        <v>18</v>
      </c>
      <c r="C14" s="18" t="s">
        <v>89</v>
      </c>
      <c r="D14" s="18" t="s">
        <v>6</v>
      </c>
      <c r="E14" s="19" t="s">
        <v>90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15" priority="3" stopIfTrue="1">
      <formula>$D15="Done"</formula>
    </cfRule>
    <cfRule type="expression" dxfId="14" priority="4" stopIfTrue="1">
      <formula>$D15="Ongoing"</formula>
    </cfRule>
  </conditionalFormatting>
  <conditionalFormatting sqref="F15:I18">
    <cfRule type="expression" dxfId="13" priority="5" stopIfTrue="1">
      <formula>$D15="Done"</formula>
    </cfRule>
    <cfRule type="expression" dxfId="12" priority="6" stopIfTrue="1">
      <formula>$D15="Ongoing"</formula>
    </cfRule>
  </conditionalFormatting>
  <conditionalFormatting sqref="A15:E18">
    <cfRule type="expression" dxfId="11" priority="1" stopIfTrue="1">
      <formula>$D15="Done"</formula>
    </cfRule>
    <cfRule type="expression" dxfId="10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78</v>
      </c>
      <c r="B9" s="36">
        <v>5</v>
      </c>
      <c r="C9" s="18"/>
      <c r="D9" s="16"/>
      <c r="E9" s="20" t="s">
        <v>79</v>
      </c>
      <c r="F9" s="20" t="s">
        <v>80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81</v>
      </c>
      <c r="B10" s="36">
        <v>5</v>
      </c>
      <c r="C10" s="18" t="s">
        <v>3</v>
      </c>
      <c r="D10" s="18" t="s">
        <v>82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83</v>
      </c>
      <c r="B11" s="2">
        <f>IF(COUNTA(A15:A242)=0,1,COUNTA(A15:A242))</f>
        <v>1</v>
      </c>
      <c r="C11" t="s">
        <v>84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85</v>
      </c>
      <c r="B12"/>
      <c r="C12" t="s">
        <v>48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86</v>
      </c>
      <c r="B13"/>
      <c r="C13" t="s">
        <v>87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88</v>
      </c>
      <c r="B14" s="19" t="s">
        <v>18</v>
      </c>
      <c r="C14" s="18" t="s">
        <v>89</v>
      </c>
      <c r="D14" s="18" t="s">
        <v>6</v>
      </c>
      <c r="E14" s="19" t="s">
        <v>90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9" priority="1" stopIfTrue="1">
      <formula>$D15="Done"</formula>
    </cfRule>
    <cfRule type="expression" dxfId="8" priority="2" stopIfTrue="1">
      <formula>$D15="Ongoing"</formula>
    </cfRule>
  </conditionalFormatting>
  <conditionalFormatting sqref="A15:I18">
    <cfRule type="expression" dxfId="7" priority="3" stopIfTrue="1">
      <formula>$D15="Done"</formula>
    </cfRule>
    <cfRule type="expression" dxfId="6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creator>&lt; Your name &gt;</dc:creator>
  <dc:description>Template versio 1.0 Approval</dc:description>
  <cp:lastModifiedBy>Mongrut De La Flor, José Manuel</cp:lastModifiedBy>
  <cp:revision>1</cp:revision>
  <dcterms:created xsi:type="dcterms:W3CDTF">1998-06-05T11:20:44Z</dcterms:created>
  <dcterms:modified xsi:type="dcterms:W3CDTF">2020-03-05T22:23:30Z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